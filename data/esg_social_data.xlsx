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387" windowHeight="9855"/>
  </bookViews>
  <sheets>
    <sheet name="Data used in analysi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<sst xmlns="http://schemas.openxmlformats.org/spreadsheetml/2006/main" count="189" uniqueCount="35">
  <si>
    <t>Data used in analyses (Source: Bloomberg Terminal)</t>
  </si>
  <si>
    <t>Year</t>
  </si>
  <si>
    <t>Company</t>
  </si>
  <si>
    <t>ESG_ score</t>
  </si>
  <si>
    <t>E_score</t>
  </si>
  <si>
    <t>S_score</t>
  </si>
  <si>
    <t>G _score</t>
  </si>
  <si>
    <t>Percent_ET</t>
  </si>
  <si>
    <t>Percent_ W</t>
  </si>
  <si>
    <t>CSR</t>
  </si>
  <si>
    <t>EBIT</t>
  </si>
  <si>
    <t>ROE</t>
  </si>
  <si>
    <t>ROA</t>
  </si>
  <si>
    <t>Tata Steel Limited</t>
  </si>
  <si>
    <t>Hindalco Industries Limited</t>
  </si>
  <si>
    <t>JSW Steel Ltd</t>
  </si>
  <si>
    <t>Oil &amp; Natural Gas Corporation Limited</t>
  </si>
  <si>
    <t>Mahindra &amp; Mahindra Ltd.</t>
  </si>
  <si>
    <t>NTPC</t>
  </si>
  <si>
    <t>Titan</t>
  </si>
  <si>
    <t>Coal India Ltd</t>
  </si>
  <si>
    <t>L&amp;T</t>
  </si>
  <si>
    <t>NESTLE</t>
  </si>
  <si>
    <t>ADANI</t>
  </si>
  <si>
    <t>ITC Ltd</t>
  </si>
  <si>
    <t>Cipla Ltd</t>
  </si>
  <si>
    <t>Tata Motors Ltd</t>
  </si>
  <si>
    <t>Hero MotoCorp Ltd.</t>
  </si>
  <si>
    <t>Tech Mahindra Ltd</t>
  </si>
  <si>
    <t>Infosys Ltd</t>
  </si>
  <si>
    <t>State Bank of India (SBIN IN)</t>
  </si>
  <si>
    <t>Wipro Ltd.</t>
  </si>
  <si>
    <t>TCPL</t>
  </si>
  <si>
    <t>Bharti Airtel</t>
  </si>
  <si>
    <t>Indusind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</si>
</sst>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sz val="11"/>
      <name val="Arial"/>
      <charset val="134"/>
    </font>
    <font>
      <b/>
      <sz val="11"/>
      <name val="Arial"/>
      <charset val="134"/>
    </font>
    <font>
      <b/>
      <sz val="10"/>
      <name val="Arial"/>
      <charset val="134"/>
    </font>
    <font>
      <sz val="10"/>
      <name val="Arial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0499893185216834"/>
        <bgColor rgb="FFECECEC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rgb="FFFFFFFF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 tint="-0.149998474074526"/>
        <bgColor rgb="FFECECEC"/>
      </patternFill>
    </fill>
    <fill>
      <patternFill patternType="solid">
        <fgColor theme="0" tint="-0.149998474074526"/>
        <bgColor rgb="FF000000"/>
      </patternFill>
    </fill>
    <fill>
      <patternFill patternType="solid">
        <fgColor theme="0" tint="-0.0499893185216834"/>
        <bgColor rgb="FF000000"/>
      </patternFill>
    </fill>
    <fill>
      <patternFill patternType="solid">
        <fgColor theme="0" tint="-0.149998474074526"/>
        <bgColor rgb="FFE7E6E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/>
    <xf numFmtId="44" fontId="5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1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13" borderId="5" applyNumberFormat="0" applyAlignment="0" applyProtection="0">
      <alignment vertical="center"/>
    </xf>
    <xf numFmtId="0" fontId="15" fillId="14" borderId="6" applyNumberFormat="0" applyAlignment="0" applyProtection="0">
      <alignment vertical="center"/>
    </xf>
    <xf numFmtId="0" fontId="16" fillId="14" borderId="5" applyNumberFormat="0" applyAlignment="0" applyProtection="0">
      <alignment vertical="center"/>
    </xf>
    <xf numFmtId="0" fontId="17" fillId="1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3" fillId="42" borderId="0" applyNumberFormat="0" applyBorder="0" applyAlignment="0" applyProtection="0">
      <alignment vertical="center"/>
    </xf>
  </cellStyleXfs>
  <cellXfs count="27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4" fontId="4" fillId="4" borderId="0" xfId="0" applyNumberFormat="1" applyFont="1" applyFill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4" fontId="4" fillId="6" borderId="0" xfId="0" applyNumberFormat="1" applyFont="1" applyFill="1" applyAlignment="1">
      <alignment horizontal="center" vertical="center" wrapText="1"/>
    </xf>
    <xf numFmtId="4" fontId="4" fillId="5" borderId="0" xfId="0" applyNumberFormat="1" applyFont="1" applyFill="1" applyAlignment="1">
      <alignment horizontal="center" vertical="center" wrapText="1"/>
    </xf>
    <xf numFmtId="0" fontId="4" fillId="7" borderId="0" xfId="0" applyFont="1" applyFill="1" applyAlignment="1">
      <alignment horizontal="center" vertical="center" wrapText="1"/>
    </xf>
    <xf numFmtId="1" fontId="4" fillId="5" borderId="0" xfId="0" applyNumberFormat="1" applyFont="1" applyFill="1" applyAlignment="1">
      <alignment horizontal="center" vertical="center" wrapText="1"/>
    </xf>
    <xf numFmtId="0" fontId="4" fillId="8" borderId="0" xfId="0" applyFont="1" applyFill="1" applyAlignment="1">
      <alignment horizontal="center" vertical="center" wrapText="1"/>
    </xf>
    <xf numFmtId="4" fontId="4" fillId="5" borderId="0" xfId="3" applyNumberFormat="1" applyFont="1" applyFill="1" applyBorder="1" applyAlignment="1">
      <alignment horizontal="center" vertical="center" wrapText="1"/>
    </xf>
    <xf numFmtId="1" fontId="4" fillId="7" borderId="0" xfId="0" applyNumberFormat="1" applyFont="1" applyFill="1" applyAlignment="1">
      <alignment horizontal="center" vertical="center" wrapText="1"/>
    </xf>
    <xf numFmtId="2" fontId="4" fillId="7" borderId="0" xfId="0" applyNumberFormat="1" applyFont="1" applyFill="1" applyAlignment="1">
      <alignment horizontal="center" vertical="center" wrapText="1"/>
    </xf>
    <xf numFmtId="4" fontId="4" fillId="7" borderId="0" xfId="0" applyNumberFormat="1" applyFont="1" applyFill="1" applyAlignment="1">
      <alignment horizontal="center" vertical="center" wrapText="1"/>
    </xf>
    <xf numFmtId="4" fontId="4" fillId="7" borderId="0" xfId="1" applyNumberFormat="1" applyFont="1" applyFill="1" applyBorder="1" applyAlignment="1">
      <alignment horizontal="center" vertical="center" wrapText="1"/>
    </xf>
    <xf numFmtId="2" fontId="4" fillId="5" borderId="0" xfId="0" applyNumberFormat="1" applyFont="1" applyFill="1" applyAlignment="1">
      <alignment horizontal="center" vertical="center" wrapText="1"/>
    </xf>
    <xf numFmtId="4" fontId="4" fillId="5" borderId="0" xfId="1" applyNumberFormat="1" applyFont="1" applyFill="1" applyBorder="1" applyAlignment="1">
      <alignment horizontal="center" vertical="center" wrapText="1"/>
    </xf>
    <xf numFmtId="4" fontId="4" fillId="7" borderId="0" xfId="3" applyNumberFormat="1" applyFont="1" applyFill="1" applyBorder="1" applyAlignment="1">
      <alignment horizontal="center" vertical="center" wrapText="1"/>
    </xf>
    <xf numFmtId="4" fontId="4" fillId="9" borderId="0" xfId="0" applyNumberFormat="1" applyFont="1" applyFill="1" applyAlignment="1">
      <alignment horizontal="center" vertical="center" wrapText="1"/>
    </xf>
    <xf numFmtId="0" fontId="4" fillId="10" borderId="0" xfId="0" applyFont="1" applyFill="1" applyAlignment="1">
      <alignment horizontal="center" vertical="center" wrapText="1"/>
    </xf>
    <xf numFmtId="4" fontId="4" fillId="10" borderId="0" xfId="0" applyNumberFormat="1" applyFont="1" applyFill="1" applyAlignment="1">
      <alignment horizontal="center" vertical="center" wrapText="1"/>
    </xf>
    <xf numFmtId="0" fontId="4" fillId="11" borderId="0" xfId="0" applyFont="1" applyFill="1" applyAlignment="1">
      <alignment horizontal="center" vertical="center" wrapText="1"/>
    </xf>
    <xf numFmtId="4" fontId="4" fillId="11" borderId="0" xfId="0" applyNumberFormat="1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B1:M178"/>
  <sheetViews>
    <sheetView showGridLines="0" tabSelected="1" workbookViewId="0">
      <selection activeCell="A1" sqref="A1"/>
    </sheetView>
  </sheetViews>
  <sheetFormatPr defaultColWidth="9.63716814159292" defaultRowHeight="13.5"/>
  <cols>
    <col min="1" max="1" width="1.08849557522124" style="1" customWidth="1"/>
    <col min="2" max="2" width="9.63716814159292" style="1"/>
    <col min="3" max="3" width="31.4513274336283" style="1" customWidth="1"/>
    <col min="4" max="4" width="11.2654867256637" style="1" customWidth="1"/>
    <col min="5" max="7" width="9.63716814159292" style="1"/>
    <col min="8" max="8" width="12.0884955752212" style="1" customWidth="1"/>
    <col min="9" max="9" width="12.5398230088496" style="1" customWidth="1"/>
    <col min="10" max="10" width="9.63716814159292" style="1"/>
    <col min="11" max="11" width="13.4513274336283" style="1" customWidth="1"/>
    <col min="12" max="16384" width="9.63716814159292" style="1"/>
  </cols>
  <sheetData>
    <row r="1" ht="13.85" spans="2:13">
      <c r="B1" s="2" t="s">
        <v>0</v>
      </c>
      <c r="C1" s="3"/>
      <c r="D1" s="3"/>
    </row>
    <row r="2" spans="2:13"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5" t="s">
        <v>7</v>
      </c>
      <c r="I2" s="5" t="s">
        <v>8</v>
      </c>
      <c r="J2" s="4" t="s">
        <v>9</v>
      </c>
      <c r="K2" s="4" t="s">
        <v>10</v>
      </c>
      <c r="L2" s="4" t="s">
        <v>11</v>
      </c>
      <c r="M2" s="4" t="s">
        <v>12</v>
      </c>
    </row>
    <row r="3" spans="2:13">
      <c r="B3" s="6">
        <v>2015</v>
      </c>
      <c r="C3" s="6" t="s">
        <v>13</v>
      </c>
      <c r="D3" s="7">
        <v>40.3682</v>
      </c>
      <c r="E3" s="7">
        <v>20.7792</v>
      </c>
      <c r="F3" s="7">
        <v>15.2963</v>
      </c>
      <c r="G3" s="7">
        <v>84.8585</v>
      </c>
      <c r="H3" s="7">
        <v>4.47</v>
      </c>
      <c r="I3" s="7">
        <v>5.36</v>
      </c>
      <c r="J3" s="7">
        <v>204</v>
      </c>
      <c r="K3" s="7">
        <v>65921.5</v>
      </c>
      <c r="L3" s="7">
        <v>-3.4561</v>
      </c>
      <c r="M3" s="7">
        <v>-2.3735</v>
      </c>
    </row>
    <row r="4" spans="2:13">
      <c r="B4" s="6">
        <v>2016</v>
      </c>
      <c r="C4" s="6" t="s">
        <v>13</v>
      </c>
      <c r="D4" s="7">
        <v>41.4345</v>
      </c>
      <c r="E4" s="7">
        <v>20.7792</v>
      </c>
      <c r="F4" s="7">
        <v>13.4825</v>
      </c>
      <c r="G4" s="7">
        <v>89.8555</v>
      </c>
      <c r="H4" s="7">
        <v>4.83</v>
      </c>
      <c r="I4" s="7">
        <v>5.5</v>
      </c>
      <c r="J4" s="7">
        <v>193.61</v>
      </c>
      <c r="K4" s="7">
        <v>26619.8</v>
      </c>
      <c r="L4" s="7">
        <v>-2.1248</v>
      </c>
      <c r="M4" s="7">
        <v>-0.2274</v>
      </c>
    </row>
    <row r="5" spans="2:13">
      <c r="B5" s="6">
        <v>2017</v>
      </c>
      <c r="C5" s="6" t="s">
        <v>13</v>
      </c>
      <c r="D5" s="7">
        <v>41.6759</v>
      </c>
      <c r="E5" s="7">
        <v>21.1114</v>
      </c>
      <c r="F5" s="7">
        <v>13.8755</v>
      </c>
      <c r="G5" s="7">
        <v>89.8555</v>
      </c>
      <c r="H5" s="7">
        <v>6.1</v>
      </c>
      <c r="I5" s="7">
        <v>6.11</v>
      </c>
      <c r="J5" s="7">
        <v>231.62</v>
      </c>
      <c r="K5" s="7">
        <v>113349.4</v>
      </c>
      <c r="L5" s="7">
        <v>5.6602</v>
      </c>
      <c r="M5" s="7">
        <v>-2.4175</v>
      </c>
    </row>
    <row r="6" spans="2:13">
      <c r="B6" s="6">
        <v>2018</v>
      </c>
      <c r="C6" s="6" t="s">
        <v>13</v>
      </c>
      <c r="D6" s="7">
        <v>41.7865</v>
      </c>
      <c r="E6" s="7">
        <v>21.4437</v>
      </c>
      <c r="F6" s="7">
        <v>13.8755</v>
      </c>
      <c r="G6" s="7">
        <v>89.8555</v>
      </c>
      <c r="H6" s="7">
        <v>6.4</v>
      </c>
      <c r="I6" s="7">
        <v>6.5</v>
      </c>
      <c r="J6" s="7">
        <v>314.94</v>
      </c>
      <c r="K6" s="7">
        <v>156914.9</v>
      </c>
      <c r="L6" s="7">
        <v>12.4633</v>
      </c>
      <c r="M6" s="7">
        <v>7.0241</v>
      </c>
    </row>
    <row r="7" spans="2:13">
      <c r="B7" s="6">
        <v>2019</v>
      </c>
      <c r="C7" s="6" t="s">
        <v>13</v>
      </c>
      <c r="D7" s="7">
        <v>41.7865</v>
      </c>
      <c r="E7" s="7">
        <v>21.4437</v>
      </c>
      <c r="F7" s="7">
        <v>13.8755</v>
      </c>
      <c r="G7" s="7">
        <v>89.8555</v>
      </c>
      <c r="H7" s="7">
        <v>6.8</v>
      </c>
      <c r="I7" s="7">
        <v>6.9</v>
      </c>
      <c r="J7" s="7">
        <v>192.99</v>
      </c>
      <c r="K7" s="7">
        <v>220415.1</v>
      </c>
      <c r="L7" s="7">
        <v>14.1751</v>
      </c>
      <c r="M7" s="7">
        <v>4.5989</v>
      </c>
    </row>
    <row r="8" spans="2:13">
      <c r="B8" s="6">
        <v>2020</v>
      </c>
      <c r="C8" s="6" t="s">
        <v>13</v>
      </c>
      <c r="D8" s="7">
        <v>41.7865</v>
      </c>
      <c r="E8" s="7">
        <v>21.4437</v>
      </c>
      <c r="F8" s="7">
        <v>13.8755</v>
      </c>
      <c r="G8" s="7">
        <v>89.8555</v>
      </c>
      <c r="H8" s="7">
        <v>7.5</v>
      </c>
      <c r="I8" s="7">
        <v>7.4</v>
      </c>
      <c r="J8" s="7">
        <v>221.98</v>
      </c>
      <c r="K8" s="7">
        <v>91199</v>
      </c>
      <c r="L8" s="7">
        <v>4.8099</v>
      </c>
      <c r="M8" s="7">
        <v>0.6432</v>
      </c>
    </row>
    <row r="9" spans="2:13">
      <c r="B9" s="6">
        <v>2021</v>
      </c>
      <c r="C9" s="6" t="s">
        <v>13</v>
      </c>
      <c r="D9" s="7">
        <v>43.2049</v>
      </c>
      <c r="E9" s="7">
        <v>25.7022</v>
      </c>
      <c r="F9" s="7">
        <v>13.8755</v>
      </c>
      <c r="G9" s="7">
        <v>89.8555</v>
      </c>
      <c r="H9" s="7">
        <v>6.9</v>
      </c>
      <c r="I9" s="7">
        <v>6.9</v>
      </c>
      <c r="J9" s="7">
        <v>405.97</v>
      </c>
      <c r="K9" s="7">
        <v>212706.2</v>
      </c>
      <c r="L9" s="7">
        <v>10.9821</v>
      </c>
      <c r="M9" s="7">
        <v>3.0208</v>
      </c>
    </row>
    <row r="10" spans="2:13">
      <c r="B10" s="6">
        <v>2022</v>
      </c>
      <c r="C10" s="6" t="s">
        <v>13</v>
      </c>
      <c r="D10" s="7">
        <f>AVERAGE(D3:D9)</f>
        <v>41.7204285714286</v>
      </c>
      <c r="E10" s="7">
        <f>AVERAGE(E3:E9)</f>
        <v>21.8147285714286</v>
      </c>
      <c r="F10" s="7">
        <f>AVERAGE(F3:F9)</f>
        <v>14.0223285714286</v>
      </c>
      <c r="G10" s="7">
        <f>AVERAGE(G3:G9)</f>
        <v>89.1416428571429</v>
      </c>
      <c r="H10" s="7">
        <v>7.4</v>
      </c>
      <c r="I10" s="7">
        <v>8.4</v>
      </c>
      <c r="J10" s="7">
        <v>481</v>
      </c>
      <c r="K10" s="7">
        <v>543890.8</v>
      </c>
      <c r="L10" s="7">
        <v>42.5912</v>
      </c>
      <c r="M10" s="7">
        <v>15.1258</v>
      </c>
    </row>
    <row r="11" spans="2:13">
      <c r="B11" s="8">
        <v>2015</v>
      </c>
      <c r="C11" s="8" t="s">
        <v>14</v>
      </c>
      <c r="D11" s="9">
        <v>48.6671</v>
      </c>
      <c r="E11" s="9">
        <v>36.3334</v>
      </c>
      <c r="F11" s="9">
        <v>24.6675</v>
      </c>
      <c r="G11" s="9">
        <v>84.8585</v>
      </c>
      <c r="H11" s="10">
        <v>7</v>
      </c>
      <c r="I11" s="10">
        <v>6.27</v>
      </c>
      <c r="J11" s="10">
        <v>34.15</v>
      </c>
      <c r="K11" s="9">
        <v>54634.3</v>
      </c>
      <c r="L11" s="9">
        <v>4.5333</v>
      </c>
      <c r="M11" s="9">
        <v>0.6051</v>
      </c>
    </row>
    <row r="12" spans="2:13">
      <c r="B12" s="8">
        <v>2016</v>
      </c>
      <c r="C12" s="8" t="s">
        <v>14</v>
      </c>
      <c r="D12" s="9">
        <v>44.6132</v>
      </c>
      <c r="E12" s="9">
        <v>31.1688</v>
      </c>
      <c r="F12" s="9">
        <v>17.6542</v>
      </c>
      <c r="G12" s="9">
        <v>84.8585</v>
      </c>
      <c r="H12" s="10">
        <v>8.88</v>
      </c>
      <c r="I12" s="10">
        <v>6</v>
      </c>
      <c r="J12" s="9">
        <v>28.36</v>
      </c>
      <c r="K12" s="9">
        <v>43444.5</v>
      </c>
      <c r="L12" s="9">
        <v>-0.6511</v>
      </c>
      <c r="M12" s="9">
        <v>-0.1759</v>
      </c>
    </row>
    <row r="13" spans="2:13">
      <c r="B13" s="8">
        <v>2017</v>
      </c>
      <c r="C13" s="8" t="s">
        <v>14</v>
      </c>
      <c r="D13" s="9">
        <v>44.9552</v>
      </c>
      <c r="E13" s="9">
        <v>31.1688</v>
      </c>
      <c r="F13" s="9">
        <v>18.682</v>
      </c>
      <c r="G13" s="9">
        <v>84.8585</v>
      </c>
      <c r="H13" s="10">
        <v>10.5</v>
      </c>
      <c r="I13" s="10">
        <v>4.7</v>
      </c>
      <c r="J13" s="9">
        <v>28.36</v>
      </c>
      <c r="K13" s="9">
        <v>79286.3</v>
      </c>
      <c r="L13" s="9">
        <v>4.1553</v>
      </c>
      <c r="M13" s="9">
        <v>1.3148</v>
      </c>
    </row>
    <row r="14" spans="2:13">
      <c r="B14" s="8">
        <v>2018</v>
      </c>
      <c r="C14" s="8" t="s">
        <v>14</v>
      </c>
      <c r="D14" s="9">
        <v>44.9552</v>
      </c>
      <c r="E14" s="9">
        <v>31.1688</v>
      </c>
      <c r="F14" s="9">
        <v>18.682</v>
      </c>
      <c r="G14" s="9">
        <v>84.8585</v>
      </c>
      <c r="H14" s="10">
        <v>4.1</v>
      </c>
      <c r="I14" s="10">
        <v>6.68</v>
      </c>
      <c r="J14" s="9">
        <v>34</v>
      </c>
      <c r="K14" s="9">
        <v>92939.4</v>
      </c>
      <c r="L14" s="9">
        <v>11.4689</v>
      </c>
      <c r="M14" s="9">
        <v>4.1265</v>
      </c>
    </row>
    <row r="15" spans="2:13">
      <c r="B15" s="8">
        <v>2019</v>
      </c>
      <c r="C15" s="8" t="s">
        <v>14</v>
      </c>
      <c r="D15" s="9">
        <v>44.9552</v>
      </c>
      <c r="E15" s="9">
        <v>31.1688</v>
      </c>
      <c r="F15" s="9">
        <v>18.682</v>
      </c>
      <c r="G15" s="9">
        <v>84.8585</v>
      </c>
      <c r="H15" s="10">
        <v>7</v>
      </c>
      <c r="I15" s="10">
        <v>7</v>
      </c>
      <c r="J15" s="9">
        <v>48.65</v>
      </c>
      <c r="K15" s="9">
        <v>108000</v>
      </c>
      <c r="L15" s="9">
        <v>9.4695</v>
      </c>
      <c r="M15" s="9">
        <v>3.6558</v>
      </c>
    </row>
    <row r="16" spans="2:13">
      <c r="B16" s="8">
        <v>2020</v>
      </c>
      <c r="C16" s="8" t="s">
        <v>14</v>
      </c>
      <c r="D16" s="9">
        <v>42.3599</v>
      </c>
      <c r="E16" s="9">
        <v>24.4035</v>
      </c>
      <c r="F16" s="9">
        <v>17.6542</v>
      </c>
      <c r="G16" s="9">
        <v>84.8585</v>
      </c>
      <c r="H16" s="10">
        <v>4.9</v>
      </c>
      <c r="I16" s="10">
        <v>7</v>
      </c>
      <c r="J16" s="9">
        <v>53.99</v>
      </c>
      <c r="K16" s="9">
        <v>93320</v>
      </c>
      <c r="L16" s="9">
        <v>6.7927</v>
      </c>
      <c r="M16" s="9">
        <v>2.337</v>
      </c>
    </row>
    <row r="17" spans="2:13">
      <c r="B17" s="8">
        <v>2021</v>
      </c>
      <c r="C17" s="8" t="s">
        <v>14</v>
      </c>
      <c r="D17" s="9">
        <v>42.3599</v>
      </c>
      <c r="E17" s="9">
        <v>24.4035</v>
      </c>
      <c r="F17" s="9">
        <v>17.6542</v>
      </c>
      <c r="G17" s="9">
        <v>84.8585</v>
      </c>
      <c r="H17" s="10">
        <v>7</v>
      </c>
      <c r="I17" s="10">
        <v>7.22</v>
      </c>
      <c r="J17" s="9">
        <v>55.04</v>
      </c>
      <c r="K17" s="9">
        <v>109170</v>
      </c>
      <c r="L17" s="9">
        <v>8.6409</v>
      </c>
      <c r="M17" s="9">
        <v>1.9389</v>
      </c>
    </row>
    <row r="18" spans="2:13">
      <c r="B18" s="8">
        <v>2022</v>
      </c>
      <c r="C18" s="8" t="s">
        <v>14</v>
      </c>
      <c r="D18" s="9">
        <v>42.3599</v>
      </c>
      <c r="E18" s="9">
        <v>24.4035</v>
      </c>
      <c r="F18" s="9">
        <v>17.6542</v>
      </c>
      <c r="G18" s="9">
        <v>84.8585</v>
      </c>
      <c r="H18" s="10">
        <v>7.21</v>
      </c>
      <c r="I18" s="10">
        <v>7.92</v>
      </c>
      <c r="J18" s="9">
        <v>67.89</v>
      </c>
      <c r="K18" s="9">
        <v>216230</v>
      </c>
      <c r="L18" s="9">
        <v>20.9016</v>
      </c>
      <c r="M18" s="9">
        <v>6.652</v>
      </c>
    </row>
    <row r="19" spans="2:13">
      <c r="B19" s="6">
        <v>2015</v>
      </c>
      <c r="C19" s="6" t="s">
        <v>15</v>
      </c>
      <c r="D19" s="7">
        <v>53.5761</v>
      </c>
      <c r="E19" s="7">
        <v>44.3975</v>
      </c>
      <c r="F19" s="7">
        <v>31.3482</v>
      </c>
      <c r="G19" s="7">
        <v>84.8585</v>
      </c>
      <c r="H19" s="7">
        <v>1.19</v>
      </c>
      <c r="I19" s="7">
        <v>4.018</v>
      </c>
      <c r="J19" s="7">
        <v>430</v>
      </c>
      <c r="K19" s="7">
        <v>64963.8</v>
      </c>
      <c r="L19" s="7">
        <v>10.8074</v>
      </c>
      <c r="M19" s="7">
        <v>2.6492</v>
      </c>
    </row>
    <row r="20" spans="2:13">
      <c r="B20" s="6">
        <v>2016</v>
      </c>
      <c r="C20" s="6" t="s">
        <v>15</v>
      </c>
      <c r="D20" s="7">
        <v>45.3978</v>
      </c>
      <c r="E20" s="7">
        <v>32.6487</v>
      </c>
      <c r="F20" s="7">
        <v>31.1064</v>
      </c>
      <c r="G20" s="7">
        <v>72.3359</v>
      </c>
      <c r="H20" s="7">
        <v>2.01</v>
      </c>
      <c r="I20" s="7">
        <v>4.066</v>
      </c>
      <c r="J20" s="7">
        <v>513.6</v>
      </c>
      <c r="K20" s="7">
        <v>30784.5</v>
      </c>
      <c r="L20" s="7">
        <v>-1.567</v>
      </c>
      <c r="M20" s="7">
        <v>-0.3984</v>
      </c>
    </row>
    <row r="21" spans="2:13">
      <c r="B21" s="6">
        <v>2017</v>
      </c>
      <c r="C21" s="6" t="s">
        <v>15</v>
      </c>
      <c r="D21" s="7">
        <v>45.4984</v>
      </c>
      <c r="E21" s="7">
        <v>32.9508</v>
      </c>
      <c r="F21" s="7">
        <v>31.1064</v>
      </c>
      <c r="G21" s="7">
        <v>72.3359</v>
      </c>
      <c r="H21" s="7">
        <v>3.25</v>
      </c>
      <c r="I21" s="7">
        <v>4.16</v>
      </c>
      <c r="J21" s="7">
        <v>429.4</v>
      </c>
      <c r="K21" s="7">
        <v>87443.5</v>
      </c>
      <c r="L21" s="7">
        <v>17.3651</v>
      </c>
      <c r="M21" s="7">
        <v>4.1314</v>
      </c>
    </row>
    <row r="22" spans="2:13">
      <c r="B22" s="6">
        <v>2018</v>
      </c>
      <c r="C22" s="6" t="s">
        <v>15</v>
      </c>
      <c r="D22" s="7">
        <v>51.1015</v>
      </c>
      <c r="E22" s="7">
        <v>34.3703</v>
      </c>
      <c r="F22" s="7">
        <v>33.948</v>
      </c>
      <c r="G22" s="7">
        <v>84.8585</v>
      </c>
      <c r="H22" s="7">
        <v>4.65</v>
      </c>
      <c r="I22" s="7">
        <v>3.67</v>
      </c>
      <c r="J22" s="7">
        <v>610</v>
      </c>
      <c r="K22" s="7">
        <v>114070</v>
      </c>
      <c r="L22" s="7">
        <v>25.1255</v>
      </c>
      <c r="M22" s="7">
        <v>6.9003</v>
      </c>
    </row>
    <row r="23" spans="2:13">
      <c r="B23" s="6">
        <v>2019</v>
      </c>
      <c r="C23" s="6" t="s">
        <v>15</v>
      </c>
      <c r="D23" s="7">
        <v>50.5784</v>
      </c>
      <c r="E23" s="7">
        <v>34.3703</v>
      </c>
      <c r="F23" s="7">
        <v>32.3761</v>
      </c>
      <c r="G23" s="7">
        <v>84.8585</v>
      </c>
      <c r="H23" s="7">
        <v>5.38</v>
      </c>
      <c r="I23" s="7">
        <v>2.848</v>
      </c>
      <c r="J23" s="7">
        <v>630</v>
      </c>
      <c r="K23" s="7">
        <v>154650</v>
      </c>
      <c r="L23" s="7">
        <v>24.2976</v>
      </c>
      <c r="M23" s="7">
        <v>7.3831</v>
      </c>
    </row>
    <row r="24" spans="2:13">
      <c r="B24" s="6">
        <v>2020</v>
      </c>
      <c r="C24" s="6" t="s">
        <v>15</v>
      </c>
      <c r="D24" s="7">
        <v>49.9749</v>
      </c>
      <c r="E24" s="7">
        <v>34.3703</v>
      </c>
      <c r="F24" s="7">
        <v>30.5623</v>
      </c>
      <c r="G24" s="7">
        <v>84.8585</v>
      </c>
      <c r="H24" s="7">
        <v>5.31</v>
      </c>
      <c r="I24" s="7">
        <v>5</v>
      </c>
      <c r="J24" s="7">
        <v>1520</v>
      </c>
      <c r="K24" s="7">
        <v>84560</v>
      </c>
      <c r="L24" s="7">
        <v>11.3277</v>
      </c>
      <c r="M24" s="7">
        <v>3.2667</v>
      </c>
    </row>
    <row r="25" spans="2:13">
      <c r="B25" s="6">
        <v>2021</v>
      </c>
      <c r="C25" s="6" t="s">
        <v>15</v>
      </c>
      <c r="D25" s="7">
        <v>49.8843</v>
      </c>
      <c r="E25" s="7">
        <v>31.5313</v>
      </c>
      <c r="F25" s="7">
        <v>33.1318</v>
      </c>
      <c r="G25" s="7">
        <v>84.8585</v>
      </c>
      <c r="H25" s="7">
        <v>5.76</v>
      </c>
      <c r="I25" s="7">
        <v>4.86</v>
      </c>
      <c r="J25" s="7">
        <v>1760</v>
      </c>
      <c r="K25" s="7">
        <v>153580</v>
      </c>
      <c r="L25" s="7">
        <v>19.2967</v>
      </c>
      <c r="M25" s="7">
        <v>5.6713</v>
      </c>
    </row>
    <row r="26" spans="2:13">
      <c r="B26" s="6">
        <v>2022</v>
      </c>
      <c r="C26" s="6" t="s">
        <v>15</v>
      </c>
      <c r="D26" s="7">
        <f t="shared" ref="D26:I26" si="0">AVERAGE(D19:D25)</f>
        <v>49.4302</v>
      </c>
      <c r="E26" s="7">
        <f t="shared" si="0"/>
        <v>34.9484571428571</v>
      </c>
      <c r="F26" s="7">
        <f t="shared" si="0"/>
        <v>31.9398857142857</v>
      </c>
      <c r="G26" s="7">
        <f t="shared" si="0"/>
        <v>81.2806142857143</v>
      </c>
      <c r="H26" s="7">
        <f t="shared" si="0"/>
        <v>3.93571428571429</v>
      </c>
      <c r="I26" s="7">
        <f t="shared" si="0"/>
        <v>4.08885714285714</v>
      </c>
      <c r="J26" s="7">
        <v>1820</v>
      </c>
      <c r="K26" s="7">
        <v>334780</v>
      </c>
      <c r="L26" s="7">
        <v>35.8609</v>
      </c>
      <c r="M26" s="7">
        <v>12.0268</v>
      </c>
    </row>
    <row r="27" spans="2:13">
      <c r="B27" s="8">
        <v>2015</v>
      </c>
      <c r="C27" s="8" t="s">
        <v>16</v>
      </c>
      <c r="D27" s="9">
        <v>43.5771</v>
      </c>
      <c r="E27" s="9">
        <v>21.9873</v>
      </c>
      <c r="F27" s="9">
        <v>39.3894</v>
      </c>
      <c r="G27" s="9">
        <v>69.2655</v>
      </c>
      <c r="H27" s="9">
        <v>4.42</v>
      </c>
      <c r="I27" s="9">
        <f t="shared" ref="I27:I29" si="1">AVERAGE(I28:I30)</f>
        <v>12.9778817413905</v>
      </c>
      <c r="J27" s="9">
        <v>2400</v>
      </c>
      <c r="K27" s="9">
        <v>245650.94</v>
      </c>
      <c r="L27" s="9">
        <v>13.771</v>
      </c>
      <c r="M27" s="9">
        <v>5.5344</v>
      </c>
    </row>
    <row r="28" spans="2:13">
      <c r="B28" s="8">
        <v>2016</v>
      </c>
      <c r="C28" s="8" t="s">
        <v>16</v>
      </c>
      <c r="D28" s="9">
        <v>39.2516</v>
      </c>
      <c r="E28" s="9">
        <v>20.5678</v>
      </c>
      <c r="F28" s="9">
        <v>27.8114</v>
      </c>
      <c r="G28" s="9">
        <v>69.2655</v>
      </c>
      <c r="H28" s="9">
        <v>4.94</v>
      </c>
      <c r="I28" s="9">
        <f t="shared" si="1"/>
        <v>11.4877972709552</v>
      </c>
      <c r="J28" s="9">
        <v>4320</v>
      </c>
      <c r="K28" s="9">
        <v>240373.78</v>
      </c>
      <c r="L28" s="9">
        <v>9.5488</v>
      </c>
      <c r="M28" s="9">
        <v>3.7819</v>
      </c>
    </row>
    <row r="29" spans="2:13">
      <c r="B29" s="8">
        <v>2017</v>
      </c>
      <c r="C29" s="8" t="s">
        <v>16</v>
      </c>
      <c r="D29" s="9">
        <v>50.0855</v>
      </c>
      <c r="E29" s="9">
        <v>51.9178</v>
      </c>
      <c r="F29" s="9">
        <v>28.9903</v>
      </c>
      <c r="G29" s="9">
        <v>69.2655</v>
      </c>
      <c r="H29" s="9">
        <v>5.79</v>
      </c>
      <c r="I29" s="9">
        <f t="shared" si="1"/>
        <v>10.4458479532164</v>
      </c>
      <c r="J29" s="9">
        <v>5247.36</v>
      </c>
      <c r="K29" s="9">
        <v>325844.72</v>
      </c>
      <c r="L29" s="9">
        <v>12.2806</v>
      </c>
      <c r="M29" s="9">
        <v>6.1979</v>
      </c>
    </row>
    <row r="30" spans="2:13">
      <c r="B30" s="8">
        <v>2018</v>
      </c>
      <c r="C30" s="8" t="s">
        <v>16</v>
      </c>
      <c r="D30" s="9">
        <v>50.9506</v>
      </c>
      <c r="E30" s="9">
        <v>51.9178</v>
      </c>
      <c r="F30" s="9">
        <v>31.5901</v>
      </c>
      <c r="G30" s="9">
        <v>69.2655</v>
      </c>
      <c r="H30" s="9">
        <v>6.64</v>
      </c>
      <c r="I30" s="9">
        <v>17</v>
      </c>
      <c r="J30" s="9">
        <v>5197.35</v>
      </c>
      <c r="K30" s="9">
        <v>337771.55</v>
      </c>
      <c r="L30" s="9">
        <v>11.22</v>
      </c>
      <c r="M30" s="9">
        <v>4.8819</v>
      </c>
    </row>
    <row r="31" spans="2:13">
      <c r="B31" s="8">
        <v>2019</v>
      </c>
      <c r="C31" s="8" t="s">
        <v>16</v>
      </c>
      <c r="D31" s="9">
        <v>47.7618</v>
      </c>
      <c r="E31" s="9">
        <v>41.7699</v>
      </c>
      <c r="F31" s="9">
        <v>31.5901</v>
      </c>
      <c r="G31" s="9">
        <v>69.8374</v>
      </c>
      <c r="H31" s="9">
        <v>7.32</v>
      </c>
      <c r="I31" s="9">
        <f>2180/31065*100</f>
        <v>7.01754385964912</v>
      </c>
      <c r="J31" s="9">
        <v>6572.94</v>
      </c>
      <c r="K31" s="9">
        <v>511152.79</v>
      </c>
      <c r="L31" s="9">
        <v>13.6866</v>
      </c>
      <c r="M31" s="9">
        <v>6.4072</v>
      </c>
    </row>
    <row r="32" spans="2:13">
      <c r="B32" s="8">
        <v>2020</v>
      </c>
      <c r="C32" s="8" t="s">
        <v>16</v>
      </c>
      <c r="D32" s="9">
        <v>44.2913</v>
      </c>
      <c r="E32" s="9">
        <v>34.9441</v>
      </c>
      <c r="F32" s="9">
        <v>27.9927</v>
      </c>
      <c r="G32" s="9">
        <v>69.8374</v>
      </c>
      <c r="H32" s="9">
        <v>7.19</v>
      </c>
      <c r="I32" s="9">
        <v>7.32</v>
      </c>
      <c r="J32" s="9">
        <v>6853.78</v>
      </c>
      <c r="K32" s="9">
        <v>254700.96</v>
      </c>
      <c r="L32" s="9">
        <v>2.0699</v>
      </c>
      <c r="M32" s="9">
        <v>2.1537</v>
      </c>
    </row>
    <row r="33" spans="2:13">
      <c r="B33" s="8">
        <v>2021</v>
      </c>
      <c r="C33" s="8" t="s">
        <v>16</v>
      </c>
      <c r="D33" s="9">
        <v>40.9516</v>
      </c>
      <c r="E33" s="9">
        <v>34.9441</v>
      </c>
      <c r="F33" s="9">
        <v>24.2443</v>
      </c>
      <c r="G33" s="9">
        <v>63.5762</v>
      </c>
      <c r="H33" s="9">
        <v>7</v>
      </c>
      <c r="I33" s="9">
        <v>7.5</v>
      </c>
      <c r="J33" s="9">
        <v>5530.74</v>
      </c>
      <c r="K33" s="9">
        <v>257725.01</v>
      </c>
      <c r="L33" s="9">
        <v>8.1235</v>
      </c>
      <c r="M33" s="9">
        <v>3.0959</v>
      </c>
    </row>
    <row r="34" spans="2:13">
      <c r="B34" s="8">
        <v>2022</v>
      </c>
      <c r="C34" s="8" t="s">
        <v>16</v>
      </c>
      <c r="D34" s="9">
        <v>44.2108</v>
      </c>
      <c r="E34" s="9">
        <v>34.9441</v>
      </c>
      <c r="F34" s="9">
        <v>34.0387</v>
      </c>
      <c r="G34" s="9">
        <v>63.5762</v>
      </c>
      <c r="H34" s="9">
        <v>6.68</v>
      </c>
      <c r="I34" s="9">
        <v>7.5</v>
      </c>
      <c r="J34" s="9">
        <v>4554.85</v>
      </c>
      <c r="K34" s="9">
        <v>529904.99</v>
      </c>
      <c r="L34" s="9">
        <v>19.2581</v>
      </c>
      <c r="M34" s="9">
        <v>8.0661</v>
      </c>
    </row>
    <row r="35" spans="2:13">
      <c r="B35" s="6">
        <v>2015</v>
      </c>
      <c r="C35" s="6" t="s">
        <v>17</v>
      </c>
      <c r="D35" s="7">
        <v>55.3465</v>
      </c>
      <c r="E35" s="7">
        <v>56.0254</v>
      </c>
      <c r="F35" s="7">
        <v>37.6058</v>
      </c>
      <c r="G35" s="7">
        <v>72.3359</v>
      </c>
      <c r="H35" s="7">
        <v>21.78</v>
      </c>
      <c r="I35" s="7">
        <v>13.7</v>
      </c>
      <c r="J35" s="7">
        <v>2364.1</v>
      </c>
      <c r="K35" s="7">
        <v>8291.3</v>
      </c>
      <c r="L35" s="7">
        <v>11.9835</v>
      </c>
      <c r="M35" s="7">
        <v>3.4268</v>
      </c>
    </row>
    <row r="36" spans="2:13">
      <c r="B36" s="6">
        <v>2016</v>
      </c>
      <c r="C36" s="6" t="s">
        <v>17</v>
      </c>
      <c r="D36" s="7">
        <v>56.5537</v>
      </c>
      <c r="E36" s="7">
        <v>56.0254</v>
      </c>
      <c r="F36" s="7">
        <v>41.2334</v>
      </c>
      <c r="G36" s="7">
        <v>72.3359</v>
      </c>
      <c r="H36" s="7">
        <v>33.891</v>
      </c>
      <c r="I36" s="7">
        <v>18.914</v>
      </c>
      <c r="J36" s="7">
        <v>859.04</v>
      </c>
      <c r="K36" s="7">
        <v>8141.5</v>
      </c>
      <c r="L36" s="7">
        <v>11.7794</v>
      </c>
      <c r="M36" s="7">
        <v>3.2213</v>
      </c>
    </row>
    <row r="37" spans="2:13">
      <c r="B37" s="11">
        <v>2017</v>
      </c>
      <c r="C37" s="6" t="s">
        <v>17</v>
      </c>
      <c r="D37" s="7">
        <f>AVERAGE(D39,D36)</f>
        <v>57.42885</v>
      </c>
      <c r="E37" s="7">
        <f t="shared" ref="E37:G37" si="2">AVERAGE(E39,E36)</f>
        <v>53.14105</v>
      </c>
      <c r="F37" s="7">
        <f t="shared" si="2"/>
        <v>40.46255</v>
      </c>
      <c r="G37" s="7">
        <f t="shared" si="2"/>
        <v>78.5972</v>
      </c>
      <c r="H37" s="7">
        <f>AVERAGE(H35:H36)</f>
        <v>27.8355</v>
      </c>
      <c r="I37" s="7">
        <f>AVERAGE(I36,I39)</f>
        <v>21.157</v>
      </c>
      <c r="J37" s="7">
        <f>AVERAGE(J35:J36)</f>
        <v>1611.57</v>
      </c>
      <c r="K37" s="7">
        <v>6021.8</v>
      </c>
      <c r="L37" s="7">
        <v>11.8996</v>
      </c>
      <c r="M37" s="7">
        <v>3.4341</v>
      </c>
    </row>
    <row r="38" spans="2:13">
      <c r="B38" s="11">
        <v>2018</v>
      </c>
      <c r="C38" s="6" t="s">
        <v>17</v>
      </c>
      <c r="D38" s="7">
        <f>AVERAGE(D37,D39)</f>
        <v>57.866425</v>
      </c>
      <c r="E38" s="7">
        <f t="shared" ref="E38:G38" si="3">AVERAGE(E37,E39)</f>
        <v>51.698875</v>
      </c>
      <c r="F38" s="7">
        <f t="shared" si="3"/>
        <v>40.077125</v>
      </c>
      <c r="G38" s="7">
        <f t="shared" si="3"/>
        <v>81.72785</v>
      </c>
      <c r="H38" s="7">
        <f>AVERAGE(H35:H37)</f>
        <v>27.8355</v>
      </c>
      <c r="I38" s="7">
        <f>AVERAGE(I37,I40)</f>
        <v>22.0735</v>
      </c>
      <c r="J38" s="7">
        <f>AVERAGE(J35:J37)</f>
        <v>1611.57</v>
      </c>
      <c r="K38" s="7">
        <v>91821.1</v>
      </c>
      <c r="L38" s="7">
        <v>17.0265</v>
      </c>
      <c r="M38" s="7">
        <v>5.9617</v>
      </c>
    </row>
    <row r="39" spans="2:13">
      <c r="B39" s="6">
        <v>2019</v>
      </c>
      <c r="C39" s="6" t="s">
        <v>17</v>
      </c>
      <c r="D39" s="7">
        <v>58.304</v>
      </c>
      <c r="E39" s="7">
        <v>50.2567</v>
      </c>
      <c r="F39" s="7">
        <v>39.6917</v>
      </c>
      <c r="G39" s="7">
        <v>84.8585</v>
      </c>
      <c r="H39" s="7">
        <f t="shared" ref="H39:H42" si="4">AVERAGE(H35:H38)</f>
        <v>27.8355</v>
      </c>
      <c r="I39" s="7">
        <v>23.4</v>
      </c>
      <c r="J39" s="7">
        <v>935</v>
      </c>
      <c r="K39" s="7">
        <v>112157.4</v>
      </c>
      <c r="L39" s="7">
        <v>13.4204</v>
      </c>
      <c r="M39" s="7">
        <v>3.5365</v>
      </c>
    </row>
    <row r="40" spans="2:13">
      <c r="B40" s="6">
        <v>2020</v>
      </c>
      <c r="C40" s="6" t="s">
        <v>17</v>
      </c>
      <c r="D40" s="7">
        <v>58.304</v>
      </c>
      <c r="E40" s="7">
        <v>50.2567</v>
      </c>
      <c r="F40" s="7">
        <v>39.6917</v>
      </c>
      <c r="G40" s="7">
        <v>84.8585</v>
      </c>
      <c r="H40" s="7">
        <f t="shared" si="4"/>
        <v>29.349375</v>
      </c>
      <c r="I40" s="7">
        <v>22.99</v>
      </c>
      <c r="J40" s="7">
        <v>1270</v>
      </c>
      <c r="K40" s="7">
        <v>98248.9</v>
      </c>
      <c r="L40" s="7">
        <v>9.6937</v>
      </c>
      <c r="M40" s="7">
        <v>0.0769</v>
      </c>
    </row>
    <row r="41" spans="2:13">
      <c r="B41" s="6">
        <v>2021</v>
      </c>
      <c r="C41" s="6" t="s">
        <v>17</v>
      </c>
      <c r="D41" s="7">
        <v>59.9738</v>
      </c>
      <c r="E41" s="7">
        <v>50.2567</v>
      </c>
      <c r="F41" s="7">
        <v>39.6917</v>
      </c>
      <c r="G41" s="7">
        <v>89.8555</v>
      </c>
      <c r="H41" s="7">
        <f t="shared" si="4"/>
        <v>28.21396875</v>
      </c>
      <c r="I41" s="7">
        <v>23.9</v>
      </c>
      <c r="J41" s="7">
        <v>927.817</v>
      </c>
      <c r="K41" s="7">
        <v>102984.4</v>
      </c>
      <c r="L41" s="7">
        <v>11.2626</v>
      </c>
      <c r="M41" s="7">
        <v>1.0871</v>
      </c>
    </row>
    <row r="42" spans="2:13">
      <c r="B42" s="6">
        <v>2022</v>
      </c>
      <c r="C42" s="6" t="s">
        <v>17</v>
      </c>
      <c r="D42" s="7">
        <v>66.5124</v>
      </c>
      <c r="E42" s="7">
        <v>70.6433</v>
      </c>
      <c r="F42" s="7">
        <v>38.9359</v>
      </c>
      <c r="G42" s="7">
        <v>89.8555</v>
      </c>
      <c r="H42" s="7">
        <f t="shared" si="4"/>
        <v>28.3085859375</v>
      </c>
      <c r="I42" s="7">
        <v>3.4</v>
      </c>
      <c r="J42" s="7">
        <v>970.8</v>
      </c>
      <c r="K42" s="7">
        <v>111753.5</v>
      </c>
      <c r="L42" s="7">
        <v>13.6765</v>
      </c>
      <c r="M42" s="7">
        <v>3.8625</v>
      </c>
    </row>
    <row r="43" spans="2:13">
      <c r="B43" s="12">
        <v>2015</v>
      </c>
      <c r="C43" s="13" t="s">
        <v>18</v>
      </c>
      <c r="D43" s="10">
        <v>37.14</v>
      </c>
      <c r="E43" s="10">
        <v>21.84</v>
      </c>
      <c r="F43" s="10">
        <v>14.24</v>
      </c>
      <c r="G43" s="10">
        <v>75.2</v>
      </c>
      <c r="H43" s="10">
        <v>0.728333333333333</v>
      </c>
      <c r="I43" s="10">
        <v>6.3</v>
      </c>
      <c r="J43" s="10">
        <v>39.675</v>
      </c>
      <c r="K43" s="10">
        <v>1847.6</v>
      </c>
      <c r="L43" s="10">
        <v>11.79</v>
      </c>
      <c r="M43" s="10">
        <v>4.76</v>
      </c>
    </row>
    <row r="44" spans="2:13">
      <c r="B44" s="12">
        <v>2016</v>
      </c>
      <c r="C44" s="13" t="s">
        <v>18</v>
      </c>
      <c r="D44" s="10">
        <v>43.02</v>
      </c>
      <c r="E44" s="10">
        <v>23.26</v>
      </c>
      <c r="F44" s="10">
        <v>24.58</v>
      </c>
      <c r="G44" s="10">
        <v>81.1</v>
      </c>
      <c r="H44" s="10">
        <v>1.12</v>
      </c>
      <c r="I44" s="10">
        <v>6.36</v>
      </c>
      <c r="J44" s="10">
        <v>75.2</v>
      </c>
      <c r="K44" s="10">
        <v>1945.6</v>
      </c>
      <c r="L44" s="10">
        <v>12.44</v>
      </c>
      <c r="M44" s="10">
        <v>4.86</v>
      </c>
    </row>
    <row r="45" spans="2:13">
      <c r="B45" s="12">
        <v>2017</v>
      </c>
      <c r="C45" s="13" t="s">
        <v>18</v>
      </c>
      <c r="D45" s="10">
        <v>51.29</v>
      </c>
      <c r="E45" s="10">
        <v>46.12</v>
      </c>
      <c r="F45" s="10">
        <v>26.18</v>
      </c>
      <c r="G45" s="10">
        <v>81.46</v>
      </c>
      <c r="H45" s="10">
        <v>1.18</v>
      </c>
      <c r="I45" s="10">
        <v>6.45</v>
      </c>
      <c r="J45" s="10">
        <v>41.4</v>
      </c>
      <c r="K45" s="10">
        <v>2309.9</v>
      </c>
      <c r="L45" s="10">
        <v>11.32</v>
      </c>
      <c r="M45" s="10">
        <v>4.53</v>
      </c>
    </row>
    <row r="46" spans="2:13">
      <c r="B46" s="12">
        <v>2018</v>
      </c>
      <c r="C46" s="13" t="s">
        <v>18</v>
      </c>
      <c r="D46" s="10">
        <v>54.57</v>
      </c>
      <c r="E46" s="10">
        <v>49.26</v>
      </c>
      <c r="F46" s="10">
        <v>26.96</v>
      </c>
      <c r="G46" s="10">
        <v>87.36</v>
      </c>
      <c r="H46" s="10">
        <v>0.69</v>
      </c>
      <c r="I46" s="10">
        <v>6.42</v>
      </c>
      <c r="J46" s="10">
        <v>37.5</v>
      </c>
      <c r="K46" s="10">
        <v>2320.6</v>
      </c>
      <c r="L46" s="10">
        <v>10.47</v>
      </c>
      <c r="M46" s="10">
        <v>3.97</v>
      </c>
    </row>
    <row r="47" spans="2:13">
      <c r="B47" s="12">
        <v>2019</v>
      </c>
      <c r="C47" s="13" t="s">
        <v>18</v>
      </c>
      <c r="D47" s="10">
        <v>54.21</v>
      </c>
      <c r="E47" s="10">
        <v>42.49</v>
      </c>
      <c r="F47" s="10">
        <v>32.65</v>
      </c>
      <c r="G47" s="10">
        <v>87.36</v>
      </c>
      <c r="H47" s="10">
        <v>0.24</v>
      </c>
      <c r="I47" s="10">
        <v>6.17</v>
      </c>
      <c r="J47" s="10">
        <v>40.8</v>
      </c>
      <c r="K47" s="10">
        <v>2576.9</v>
      </c>
      <c r="L47" s="10">
        <v>12.78</v>
      </c>
      <c r="M47" s="10">
        <v>4.37</v>
      </c>
    </row>
    <row r="48" spans="2:13">
      <c r="B48" s="12">
        <v>2020</v>
      </c>
      <c r="C48" s="13" t="s">
        <v>18</v>
      </c>
      <c r="D48" s="10">
        <v>55.95</v>
      </c>
      <c r="E48" s="10">
        <v>42.52</v>
      </c>
      <c r="F48" s="10">
        <v>37.85</v>
      </c>
      <c r="G48" s="10">
        <v>87.36</v>
      </c>
      <c r="H48" s="10">
        <v>0.82</v>
      </c>
      <c r="I48" s="14">
        <v>6.54</v>
      </c>
      <c r="J48" s="10">
        <v>43</v>
      </c>
      <c r="K48" s="10">
        <v>2988.4</v>
      </c>
      <c r="L48" s="10">
        <v>10.08</v>
      </c>
      <c r="M48" s="10">
        <v>3.2</v>
      </c>
    </row>
    <row r="49" spans="2:13">
      <c r="B49" s="12">
        <v>2021</v>
      </c>
      <c r="C49" s="13" t="s">
        <v>18</v>
      </c>
      <c r="D49" s="10">
        <v>58.52</v>
      </c>
      <c r="E49" s="10">
        <v>51.8</v>
      </c>
      <c r="F49" s="10">
        <v>36.28</v>
      </c>
      <c r="G49" s="10">
        <v>87.36</v>
      </c>
      <c r="H49" s="10">
        <v>0.32</v>
      </c>
      <c r="I49" s="10">
        <v>6.325</v>
      </c>
      <c r="J49" s="10">
        <v>56.4</v>
      </c>
      <c r="K49" s="10">
        <v>2879.3</v>
      </c>
      <c r="L49" s="10">
        <v>11.97</v>
      </c>
      <c r="M49" s="10">
        <v>3.77</v>
      </c>
    </row>
    <row r="50" spans="2:13">
      <c r="B50" s="12">
        <v>2022</v>
      </c>
      <c r="C50" s="13" t="s">
        <v>18</v>
      </c>
      <c r="D50" s="10">
        <v>44.155</v>
      </c>
      <c r="E50" s="10">
        <v>29.325</v>
      </c>
      <c r="F50" s="10">
        <v>23.577</v>
      </c>
      <c r="G50" s="10">
        <v>79.433</v>
      </c>
      <c r="H50" s="10">
        <v>0.728333333333333</v>
      </c>
      <c r="I50" s="10">
        <v>6.325</v>
      </c>
      <c r="J50" s="10">
        <v>39.675</v>
      </c>
      <c r="K50" s="10">
        <v>3472.3</v>
      </c>
      <c r="L50" s="10">
        <v>12.77</v>
      </c>
      <c r="M50" s="10">
        <v>4.09</v>
      </c>
    </row>
    <row r="51" spans="2:13">
      <c r="B51" s="15">
        <v>2015</v>
      </c>
      <c r="C51" s="16" t="s">
        <v>19</v>
      </c>
      <c r="D51" s="17">
        <v>28.8</v>
      </c>
      <c r="E51" s="17">
        <v>24.1866666666667</v>
      </c>
      <c r="F51" s="17">
        <v>19.44</v>
      </c>
      <c r="G51" s="18">
        <v>66.07</v>
      </c>
      <c r="H51" s="18">
        <v>8.3</v>
      </c>
      <c r="I51" s="17">
        <v>25.9683333333333</v>
      </c>
      <c r="J51" s="17">
        <v>2</v>
      </c>
      <c r="K51" s="17">
        <v>173.3</v>
      </c>
      <c r="L51" s="17">
        <v>29.12</v>
      </c>
      <c r="M51" s="17">
        <v>13.63</v>
      </c>
    </row>
    <row r="52" spans="2:13">
      <c r="B52" s="15">
        <v>2016</v>
      </c>
      <c r="C52" s="16" t="s">
        <v>19</v>
      </c>
      <c r="D52" s="17">
        <v>39.85</v>
      </c>
      <c r="E52" s="17">
        <v>20.69</v>
      </c>
      <c r="F52" s="17">
        <v>32.68</v>
      </c>
      <c r="G52" s="18">
        <v>66.07</v>
      </c>
      <c r="H52" s="18">
        <v>7.4</v>
      </c>
      <c r="I52" s="17">
        <v>25.6</v>
      </c>
      <c r="J52" s="17">
        <v>2.7</v>
      </c>
      <c r="K52" s="17">
        <v>127.9</v>
      </c>
      <c r="L52" s="17">
        <v>20.47</v>
      </c>
      <c r="M52" s="17">
        <v>11.05</v>
      </c>
    </row>
    <row r="53" spans="2:13">
      <c r="B53" s="15">
        <v>2017</v>
      </c>
      <c r="C53" s="16" t="s">
        <v>19</v>
      </c>
      <c r="D53" s="17">
        <v>41.57</v>
      </c>
      <c r="E53" s="17">
        <v>25.85</v>
      </c>
      <c r="F53" s="17">
        <v>32.68</v>
      </c>
      <c r="G53" s="18">
        <v>66.07</v>
      </c>
      <c r="H53" s="18">
        <v>13</v>
      </c>
      <c r="I53" s="17">
        <v>25.1</v>
      </c>
      <c r="J53" s="17">
        <v>3</v>
      </c>
      <c r="K53" s="17">
        <v>155.9</v>
      </c>
      <c r="L53" s="17">
        <v>18.39</v>
      </c>
      <c r="M53" s="17">
        <v>9.65</v>
      </c>
    </row>
    <row r="54" spans="2:13">
      <c r="B54" s="15">
        <v>2018</v>
      </c>
      <c r="C54" s="16" t="s">
        <v>19</v>
      </c>
      <c r="D54" s="17">
        <v>44.7</v>
      </c>
      <c r="E54" s="17">
        <v>25.85</v>
      </c>
      <c r="F54" s="17">
        <v>29.53</v>
      </c>
      <c r="G54" s="18">
        <v>78.6</v>
      </c>
      <c r="H54" s="18">
        <v>8.98</v>
      </c>
      <c r="I54" s="17">
        <v>26.11</v>
      </c>
      <c r="J54" s="17">
        <v>3.6</v>
      </c>
      <c r="K54" s="17">
        <v>234.7</v>
      </c>
      <c r="L54" s="17">
        <v>24.25</v>
      </c>
      <c r="M54" s="17">
        <v>12.6</v>
      </c>
    </row>
    <row r="55" spans="2:13">
      <c r="B55" s="15">
        <v>2019</v>
      </c>
      <c r="C55" s="16" t="s">
        <v>19</v>
      </c>
      <c r="D55" s="17">
        <v>42.13</v>
      </c>
      <c r="E55" s="17">
        <v>20.69</v>
      </c>
      <c r="F55" s="17">
        <v>26.96</v>
      </c>
      <c r="G55" s="18">
        <v>78.6</v>
      </c>
      <c r="H55" s="18">
        <v>5.25</v>
      </c>
      <c r="I55" s="17">
        <v>26.21</v>
      </c>
      <c r="J55" s="17">
        <v>4.5</v>
      </c>
      <c r="K55" s="17">
        <v>261.6</v>
      </c>
      <c r="L55" s="17">
        <v>25.16</v>
      </c>
      <c r="M55" s="17">
        <v>13.22</v>
      </c>
    </row>
    <row r="56" spans="2:13">
      <c r="B56" s="15">
        <v>2020</v>
      </c>
      <c r="C56" s="16" t="s">
        <v>19</v>
      </c>
      <c r="D56" s="17">
        <v>43.85</v>
      </c>
      <c r="E56" s="17">
        <v>25.85</v>
      </c>
      <c r="F56" s="17">
        <v>26.96</v>
      </c>
      <c r="G56" s="18">
        <v>78.6</v>
      </c>
      <c r="H56" s="18">
        <v>2</v>
      </c>
      <c r="I56" s="17">
        <v>26.3</v>
      </c>
      <c r="J56" s="17">
        <v>4.4</v>
      </c>
      <c r="K56" s="17">
        <v>298.9</v>
      </c>
      <c r="L56" s="17">
        <v>23.57</v>
      </c>
      <c r="M56" s="17">
        <v>11.89</v>
      </c>
    </row>
    <row r="57" spans="2:13">
      <c r="B57" s="15">
        <v>2021</v>
      </c>
      <c r="C57" s="16" t="s">
        <v>19</v>
      </c>
      <c r="D57" s="17">
        <v>45.01</v>
      </c>
      <c r="E57" s="17">
        <v>26.19</v>
      </c>
      <c r="F57" s="17">
        <v>30.11</v>
      </c>
      <c r="G57" s="18">
        <v>78.6</v>
      </c>
      <c r="H57" s="18">
        <v>5</v>
      </c>
      <c r="I57" s="17">
        <v>26.49</v>
      </c>
      <c r="J57" s="17">
        <v>5.1</v>
      </c>
      <c r="K57" s="17">
        <v>181.7</v>
      </c>
      <c r="L57" s="17">
        <v>13.74</v>
      </c>
      <c r="M57" s="17">
        <v>6.49</v>
      </c>
    </row>
    <row r="58" spans="2:13">
      <c r="B58" s="15">
        <v>2022</v>
      </c>
      <c r="C58" s="16" t="s">
        <v>19</v>
      </c>
      <c r="D58" s="17">
        <f>AVERAGE(D52:D57)</f>
        <v>42.8516666666667</v>
      </c>
      <c r="E58" s="17">
        <v>24.1866666666667</v>
      </c>
      <c r="F58" s="17">
        <v>28.3371428571429</v>
      </c>
      <c r="G58" s="18">
        <v>71.837</v>
      </c>
      <c r="H58" s="18">
        <v>7.13285714285714</v>
      </c>
      <c r="I58" s="17">
        <v>25.9683333333333</v>
      </c>
      <c r="J58" s="17">
        <v>3.61428571428571</v>
      </c>
      <c r="K58" s="17">
        <v>394.9</v>
      </c>
      <c r="L58" s="17">
        <v>25.87</v>
      </c>
      <c r="M58" s="17">
        <v>11.54</v>
      </c>
    </row>
    <row r="59" spans="2:13">
      <c r="B59" s="12">
        <v>2015</v>
      </c>
      <c r="C59" s="19" t="s">
        <v>20</v>
      </c>
      <c r="D59" s="10">
        <v>35.88</v>
      </c>
      <c r="E59" s="10">
        <v>16.37</v>
      </c>
      <c r="F59" s="10">
        <v>22.58</v>
      </c>
      <c r="G59" s="20">
        <v>68.57</v>
      </c>
      <c r="H59" s="20">
        <v>5.57333333333333</v>
      </c>
      <c r="I59" s="10">
        <v>7.7</v>
      </c>
      <c r="J59" s="10">
        <v>48.8</v>
      </c>
      <c r="K59" s="10">
        <v>2458.9</v>
      </c>
      <c r="L59" s="10">
        <v>33.17</v>
      </c>
      <c r="M59" s="10">
        <v>12.78</v>
      </c>
    </row>
    <row r="60" spans="2:13">
      <c r="B60" s="12">
        <v>2016</v>
      </c>
      <c r="C60" s="19" t="s">
        <v>20</v>
      </c>
      <c r="D60" s="10">
        <v>37.71</v>
      </c>
      <c r="E60" s="10">
        <v>8.43</v>
      </c>
      <c r="F60" s="10">
        <v>29.75</v>
      </c>
      <c r="G60" s="20">
        <v>74.83</v>
      </c>
      <c r="H60" s="20">
        <v>6.41</v>
      </c>
      <c r="I60" s="10">
        <v>7.07</v>
      </c>
      <c r="J60" s="10">
        <v>165.4</v>
      </c>
      <c r="K60" s="10">
        <v>2432.7</v>
      </c>
      <c r="L60" s="10">
        <v>37.95</v>
      </c>
      <c r="M60" s="10">
        <v>12.77</v>
      </c>
    </row>
    <row r="61" spans="2:13">
      <c r="B61" s="12">
        <v>2017</v>
      </c>
      <c r="C61" s="19" t="s">
        <v>20</v>
      </c>
      <c r="D61" s="10">
        <v>37.09</v>
      </c>
      <c r="E61" s="10">
        <v>8.43</v>
      </c>
      <c r="F61" s="10">
        <v>32.89</v>
      </c>
      <c r="G61" s="20">
        <v>69.84</v>
      </c>
      <c r="H61" s="20">
        <v>0.91</v>
      </c>
      <c r="I61" s="10">
        <v>5.72</v>
      </c>
      <c r="J61" s="10">
        <v>73</v>
      </c>
      <c r="K61" s="10">
        <v>1423.2</v>
      </c>
      <c r="L61" s="10">
        <v>31.27</v>
      </c>
      <c r="M61" s="10">
        <v>8.05</v>
      </c>
    </row>
    <row r="62" spans="2:13">
      <c r="B62" s="12">
        <v>2018</v>
      </c>
      <c r="C62" s="19" t="s">
        <v>20</v>
      </c>
      <c r="D62" s="10">
        <v>37.43</v>
      </c>
      <c r="E62" s="10">
        <v>8.43</v>
      </c>
      <c r="F62" s="10">
        <v>33.92</v>
      </c>
      <c r="G62" s="20">
        <v>69.84</v>
      </c>
      <c r="H62" s="20">
        <v>6</v>
      </c>
      <c r="I62" s="10">
        <v>6.76</v>
      </c>
      <c r="J62" s="10">
        <v>75</v>
      </c>
      <c r="K62" s="10">
        <v>963.9</v>
      </c>
      <c r="L62" s="10">
        <v>31.49</v>
      </c>
      <c r="M62" s="10">
        <v>5.79</v>
      </c>
    </row>
    <row r="63" spans="2:13">
      <c r="B63" s="12">
        <v>2019</v>
      </c>
      <c r="C63" s="19" t="s">
        <v>20</v>
      </c>
      <c r="D63" s="10">
        <v>37.43</v>
      </c>
      <c r="E63" s="10">
        <v>8.43</v>
      </c>
      <c r="F63" s="10">
        <v>33.92</v>
      </c>
      <c r="G63" s="20">
        <v>69.84</v>
      </c>
      <c r="H63" s="20">
        <v>6.88</v>
      </c>
      <c r="I63" s="10">
        <v>6.9</v>
      </c>
      <c r="J63" s="10">
        <v>59.6</v>
      </c>
      <c r="K63" s="10">
        <v>3085.4</v>
      </c>
      <c r="L63" s="10">
        <v>74.89</v>
      </c>
      <c r="M63" s="10">
        <v>13.51</v>
      </c>
    </row>
    <row r="64" spans="2:13">
      <c r="B64" s="12">
        <v>2020</v>
      </c>
      <c r="C64" s="19" t="s">
        <v>20</v>
      </c>
      <c r="D64" s="10">
        <v>39.74</v>
      </c>
      <c r="E64" s="10">
        <v>8.43</v>
      </c>
      <c r="F64" s="10">
        <v>40.87</v>
      </c>
      <c r="G64" s="20">
        <v>69.84</v>
      </c>
      <c r="H64" s="20">
        <v>6.65</v>
      </c>
      <c r="I64" s="10">
        <v>7.15</v>
      </c>
      <c r="J64" s="10">
        <v>82.9</v>
      </c>
      <c r="K64" s="10">
        <v>2559.9</v>
      </c>
      <c r="L64" s="10">
        <v>57.03</v>
      </c>
      <c r="M64" s="10">
        <v>11.8</v>
      </c>
    </row>
    <row r="65" spans="2:13">
      <c r="B65" s="12">
        <v>2021</v>
      </c>
      <c r="C65" s="19" t="s">
        <v>20</v>
      </c>
      <c r="D65" s="10">
        <v>43.7</v>
      </c>
      <c r="E65" s="10">
        <v>25.64</v>
      </c>
      <c r="F65" s="10">
        <v>39.3</v>
      </c>
      <c r="G65" s="20">
        <v>66.07</v>
      </c>
      <c r="H65" s="20">
        <v>6.59</v>
      </c>
      <c r="I65" s="10">
        <v>7.5</v>
      </c>
      <c r="J65" s="10">
        <v>74.6</v>
      </c>
      <c r="K65" s="10">
        <v>2002.6</v>
      </c>
      <c r="L65" s="10">
        <v>36.99</v>
      </c>
      <c r="M65" s="10">
        <v>8.14</v>
      </c>
    </row>
    <row r="66" spans="2:13">
      <c r="B66" s="12">
        <v>2022</v>
      </c>
      <c r="C66" s="19" t="s">
        <v>20</v>
      </c>
      <c r="D66" s="10">
        <v>35.047</v>
      </c>
      <c r="E66" s="10">
        <v>11.1022222222222</v>
      </c>
      <c r="F66" s="10">
        <v>26.863</v>
      </c>
      <c r="G66" s="20">
        <v>68.175</v>
      </c>
      <c r="H66" s="20">
        <v>5.57333333333333</v>
      </c>
      <c r="I66" s="10">
        <v>6.97142857142857</v>
      </c>
      <c r="J66" s="10">
        <v>69.01</v>
      </c>
      <c r="K66" s="10">
        <v>2719.6</v>
      </c>
      <c r="L66" s="10">
        <v>43.58</v>
      </c>
      <c r="M66" s="10">
        <v>10.15</v>
      </c>
    </row>
    <row r="67" spans="2:13">
      <c r="B67" s="11">
        <v>2015</v>
      </c>
      <c r="C67" s="16" t="s">
        <v>21</v>
      </c>
      <c r="D67" s="17">
        <v>55.8998</v>
      </c>
      <c r="E67" s="17">
        <v>46.0586</v>
      </c>
      <c r="F67" s="17">
        <v>36.6687</v>
      </c>
      <c r="G67" s="17">
        <v>84.8585</v>
      </c>
      <c r="H67" s="17">
        <v>13.9</v>
      </c>
      <c r="I67" s="17">
        <v>12</v>
      </c>
      <c r="J67" s="17">
        <v>84.8585</v>
      </c>
      <c r="K67" s="17">
        <v>1443.5149</v>
      </c>
      <c r="L67" s="17">
        <v>12.1214219759926</v>
      </c>
      <c r="M67" s="17">
        <v>2.6255</v>
      </c>
    </row>
    <row r="68" spans="2:13">
      <c r="B68" s="11">
        <v>2016</v>
      </c>
      <c r="C68" s="16" t="s">
        <v>21</v>
      </c>
      <c r="D68" s="17">
        <v>55.8998</v>
      </c>
      <c r="E68" s="17">
        <v>46.0586</v>
      </c>
      <c r="F68" s="17">
        <v>36.6687</v>
      </c>
      <c r="G68" s="17">
        <v>84.8585</v>
      </c>
      <c r="H68" s="17">
        <v>17.67</v>
      </c>
      <c r="I68" s="17">
        <v>12.6</v>
      </c>
      <c r="J68" s="17">
        <v>84.8585</v>
      </c>
      <c r="K68" s="17">
        <v>1325.7007</v>
      </c>
      <c r="L68" s="17">
        <v>9.94931506849315</v>
      </c>
      <c r="M68" s="17">
        <v>2.1789</v>
      </c>
    </row>
    <row r="69" spans="2:13">
      <c r="B69" s="11">
        <v>2017</v>
      </c>
      <c r="C69" s="16" t="s">
        <v>21</v>
      </c>
      <c r="D69" s="17">
        <v>54.7732</v>
      </c>
      <c r="E69" s="17">
        <v>42.6759</v>
      </c>
      <c r="F69" s="17">
        <v>36.6687</v>
      </c>
      <c r="G69" s="17">
        <v>84.8585</v>
      </c>
      <c r="H69" s="17">
        <v>17.44</v>
      </c>
      <c r="I69" s="17">
        <v>5</v>
      </c>
      <c r="J69" s="17">
        <v>84.8585</v>
      </c>
      <c r="K69" s="17">
        <v>1298.2068</v>
      </c>
      <c r="L69" s="17">
        <v>12.9029462738302</v>
      </c>
      <c r="M69" s="17">
        <v>2.978</v>
      </c>
    </row>
    <row r="70" spans="2:13">
      <c r="B70" s="11">
        <v>2018</v>
      </c>
      <c r="C70" s="16" t="s">
        <v>21</v>
      </c>
      <c r="D70" s="17">
        <v>60.4969</v>
      </c>
      <c r="E70" s="17">
        <v>46.0586</v>
      </c>
      <c r="F70" s="17">
        <v>36.6687</v>
      </c>
      <c r="G70" s="17">
        <v>98.6153</v>
      </c>
      <c r="H70" s="17">
        <v>10.78</v>
      </c>
      <c r="I70" s="17">
        <v>5.57</v>
      </c>
      <c r="J70" s="17">
        <v>98.6153</v>
      </c>
      <c r="K70" s="17">
        <v>1805.1361</v>
      </c>
      <c r="L70" s="17">
        <v>14.1251089799477</v>
      </c>
      <c r="M70" s="17">
        <v>3.2403</v>
      </c>
    </row>
    <row r="71" spans="2:13">
      <c r="B71" s="11">
        <v>2019</v>
      </c>
      <c r="C71" s="16" t="s">
        <v>21</v>
      </c>
      <c r="D71" s="17">
        <v>59.2395</v>
      </c>
      <c r="E71" s="17">
        <v>41.2564</v>
      </c>
      <c r="F71" s="17">
        <v>37.6965</v>
      </c>
      <c r="G71" s="17">
        <v>98.6153</v>
      </c>
      <c r="H71" s="17">
        <v>12.81</v>
      </c>
      <c r="I71" s="17">
        <v>5.54</v>
      </c>
      <c r="J71" s="17">
        <v>98.6153</v>
      </c>
      <c r="K71" s="17">
        <v>1918.0323</v>
      </c>
      <c r="L71" s="17">
        <v>15.1847729296527</v>
      </c>
      <c r="M71" s="17">
        <v>3.4105</v>
      </c>
    </row>
    <row r="72" spans="2:13">
      <c r="B72" s="11">
        <v>2020</v>
      </c>
      <c r="C72" s="16" t="s">
        <v>21</v>
      </c>
      <c r="D72" s="17">
        <v>60.8389</v>
      </c>
      <c r="E72" s="17">
        <v>44.3975</v>
      </c>
      <c r="F72" s="17">
        <v>41.8682</v>
      </c>
      <c r="G72" s="17">
        <v>96.1168</v>
      </c>
      <c r="H72" s="21">
        <v>10.29</v>
      </c>
      <c r="I72" s="17">
        <v>5.97</v>
      </c>
      <c r="J72" s="17">
        <v>96.1168</v>
      </c>
      <c r="K72" s="17">
        <v>1956.5214</v>
      </c>
      <c r="L72" s="17">
        <v>14.7946388005452</v>
      </c>
      <c r="M72" s="17">
        <v>3.2563</v>
      </c>
    </row>
    <row r="73" spans="2:13">
      <c r="B73" s="11">
        <v>2021</v>
      </c>
      <c r="C73" s="16" t="s">
        <v>21</v>
      </c>
      <c r="D73" s="17">
        <v>61.6035</v>
      </c>
      <c r="E73" s="17">
        <v>46.6928</v>
      </c>
      <c r="F73" s="17">
        <v>41.8682</v>
      </c>
      <c r="G73" s="17">
        <v>96.1168</v>
      </c>
      <c r="H73" s="17">
        <v>18.26</v>
      </c>
      <c r="I73" s="17">
        <v>6.19</v>
      </c>
      <c r="J73" s="17">
        <v>96.1168</v>
      </c>
      <c r="K73" s="17">
        <v>2744.8121</v>
      </c>
      <c r="L73" s="17">
        <v>16.24674196351</v>
      </c>
      <c r="M73" s="17">
        <v>3.74</v>
      </c>
    </row>
    <row r="74" spans="2:13">
      <c r="B74" s="11">
        <v>2022</v>
      </c>
      <c r="C74" s="16" t="s">
        <v>21</v>
      </c>
      <c r="D74" s="17">
        <f t="shared" ref="D74:M74" si="5">AVERAGE(D67:D73)</f>
        <v>58.3930857142857</v>
      </c>
      <c r="E74" s="17">
        <f t="shared" si="5"/>
        <v>44.7426285714286</v>
      </c>
      <c r="F74" s="17">
        <f t="shared" si="5"/>
        <v>38.3011</v>
      </c>
      <c r="G74" s="17">
        <f t="shared" si="5"/>
        <v>92.0056714285714</v>
      </c>
      <c r="H74" s="17">
        <f t="shared" si="5"/>
        <v>14.45</v>
      </c>
      <c r="I74" s="17">
        <f t="shared" si="5"/>
        <v>7.55285714285714</v>
      </c>
      <c r="J74" s="17">
        <f t="shared" si="5"/>
        <v>92.0056714285714</v>
      </c>
      <c r="K74" s="17">
        <f t="shared" si="5"/>
        <v>1784.56061428571</v>
      </c>
      <c r="L74" s="17">
        <f t="shared" si="5"/>
        <v>13.6178494274245</v>
      </c>
      <c r="M74" s="17">
        <f t="shared" si="5"/>
        <v>3.06135714285714</v>
      </c>
    </row>
    <row r="75" spans="2:13">
      <c r="B75" s="8">
        <v>2015</v>
      </c>
      <c r="C75" s="19" t="s">
        <v>22</v>
      </c>
      <c r="D75" s="10">
        <v>37.3001</v>
      </c>
      <c r="E75" s="10">
        <v>16.4603</v>
      </c>
      <c r="F75" s="10">
        <v>19.1959</v>
      </c>
      <c r="G75" s="20">
        <v>76.0987</v>
      </c>
      <c r="H75" s="10">
        <v>1.18</v>
      </c>
      <c r="I75" s="10">
        <f>555*100/7495</f>
        <v>7.40493662441628</v>
      </c>
      <c r="J75" s="10">
        <v>235</v>
      </c>
      <c r="K75" s="10">
        <v>191.8982</v>
      </c>
      <c r="L75" s="10">
        <v>19.9202105263158</v>
      </c>
      <c r="M75" s="10">
        <v>9.4621</v>
      </c>
    </row>
    <row r="76" spans="2:13">
      <c r="B76" s="8">
        <v>2016</v>
      </c>
      <c r="C76" s="19" t="s">
        <v>22</v>
      </c>
      <c r="D76" s="10">
        <v>40.7605</v>
      </c>
      <c r="E76" s="10">
        <v>23.3162</v>
      </c>
      <c r="F76" s="10">
        <v>20.2237</v>
      </c>
      <c r="G76" s="20">
        <v>78.5972</v>
      </c>
      <c r="H76" s="10">
        <v>11</v>
      </c>
      <c r="I76" s="10">
        <v>16</v>
      </c>
      <c r="J76" s="10">
        <v>312.2</v>
      </c>
      <c r="K76" s="10">
        <v>246.2304</v>
      </c>
      <c r="L76" s="10">
        <v>32.83044397463</v>
      </c>
      <c r="M76" s="10">
        <v>15.5288</v>
      </c>
    </row>
    <row r="77" spans="2:13">
      <c r="B77" s="8">
        <v>2017</v>
      </c>
      <c r="C77" s="19" t="s">
        <v>22</v>
      </c>
      <c r="D77" s="10">
        <v>38.5877</v>
      </c>
      <c r="E77" s="10">
        <v>16.7925</v>
      </c>
      <c r="F77" s="10">
        <v>20.2237</v>
      </c>
      <c r="G77" s="20">
        <v>78.5972</v>
      </c>
      <c r="H77" s="10">
        <v>9</v>
      </c>
      <c r="I77" s="10">
        <v>17</v>
      </c>
      <c r="J77" s="10">
        <v>268.8</v>
      </c>
      <c r="K77" s="10">
        <v>281.3089</v>
      </c>
      <c r="L77" s="10">
        <v>36.559526326919</v>
      </c>
      <c r="M77" s="10">
        <v>17.289</v>
      </c>
    </row>
    <row r="78" spans="2:13">
      <c r="B78" s="8">
        <v>2018</v>
      </c>
      <c r="C78" s="19" t="s">
        <v>22</v>
      </c>
      <c r="D78" s="10">
        <v>39.1611</v>
      </c>
      <c r="E78" s="10">
        <v>18.514</v>
      </c>
      <c r="F78" s="10">
        <v>20.2237</v>
      </c>
      <c r="G78" s="20">
        <v>78.5972</v>
      </c>
      <c r="H78" s="10">
        <v>8.3</v>
      </c>
      <c r="I78" s="10">
        <v>19</v>
      </c>
      <c r="J78" s="10">
        <v>273.4</v>
      </c>
      <c r="K78" s="10">
        <v>333.8493</v>
      </c>
      <c r="L78" s="10">
        <v>45.2979094076655</v>
      </c>
      <c r="M78" s="10">
        <v>20.8008</v>
      </c>
    </row>
    <row r="79" spans="2:13">
      <c r="B79" s="8">
        <v>2019</v>
      </c>
      <c r="C79" s="19" t="s">
        <v>22</v>
      </c>
      <c r="D79" s="10">
        <v>41.525</v>
      </c>
      <c r="E79" s="10">
        <v>25.6116</v>
      </c>
      <c r="F79" s="10">
        <v>20.2237</v>
      </c>
      <c r="G79" s="20">
        <v>78.5972</v>
      </c>
      <c r="H79" s="10">
        <v>7.2</v>
      </c>
      <c r="I79" s="10">
        <v>21</v>
      </c>
      <c r="J79" s="10">
        <v>380.7</v>
      </c>
      <c r="K79" s="10">
        <v>363.0708</v>
      </c>
      <c r="L79" s="10">
        <v>70.387448840382</v>
      </c>
      <c r="M79" s="10">
        <v>25.797</v>
      </c>
    </row>
    <row r="80" spans="2:13">
      <c r="B80" s="8">
        <v>2020</v>
      </c>
      <c r="C80" s="19" t="s">
        <v>22</v>
      </c>
      <c r="D80" s="10">
        <v>40.7404</v>
      </c>
      <c r="E80" s="10">
        <v>19.0879</v>
      </c>
      <c r="F80" s="10">
        <v>24.3954</v>
      </c>
      <c r="G80" s="20">
        <v>78.5972</v>
      </c>
      <c r="H80" s="10">
        <v>8</v>
      </c>
      <c r="I80" s="10">
        <f>893*100/7747</f>
        <v>11.5270427262166</v>
      </c>
      <c r="J80" s="10">
        <v>464.2</v>
      </c>
      <c r="K80" s="10">
        <v>382.1332</v>
      </c>
      <c r="L80" s="10">
        <v>105.747799464217</v>
      </c>
      <c r="M80" s="10">
        <v>27.6319</v>
      </c>
    </row>
    <row r="81" spans="2:13">
      <c r="B81" s="8">
        <v>2021</v>
      </c>
      <c r="C81" s="19" t="s">
        <v>22</v>
      </c>
      <c r="D81" s="10">
        <v>40.7404</v>
      </c>
      <c r="E81" s="10">
        <v>19.0879</v>
      </c>
      <c r="F81" s="10">
        <v>24.3954</v>
      </c>
      <c r="G81" s="20">
        <v>78.5972</v>
      </c>
      <c r="H81" s="10">
        <v>11</v>
      </c>
      <c r="I81" s="10">
        <v>24</v>
      </c>
      <c r="J81" s="10">
        <v>534</v>
      </c>
      <c r="K81" s="10">
        <v>432.9873</v>
      </c>
      <c r="L81" s="10">
        <v>104.547310561445</v>
      </c>
      <c r="M81" s="10">
        <v>26.6282</v>
      </c>
    </row>
    <row r="82" spans="2:13">
      <c r="B82" s="8">
        <v>2022</v>
      </c>
      <c r="C82" s="19" t="s">
        <v>22</v>
      </c>
      <c r="D82" s="10">
        <f>AVERAGE(D75:D81)</f>
        <v>39.8307428571429</v>
      </c>
      <c r="E82" s="10">
        <f>AVERAGE(E75:E80)</f>
        <v>19.96375</v>
      </c>
      <c r="F82" s="10">
        <f>AVERAGE(F75:F80)</f>
        <v>20.7476833333333</v>
      </c>
      <c r="G82" s="10">
        <f>AVERAGE(G75:G80)</f>
        <v>78.1807833333333</v>
      </c>
      <c r="H82" s="10">
        <v>16</v>
      </c>
      <c r="I82" s="10">
        <v>24</v>
      </c>
      <c r="J82" s="10">
        <f>AVERAGE($G$27:$G$32)</f>
        <v>69.4561333333333</v>
      </c>
      <c r="K82" s="10">
        <f>AVERAGE(K75:K81)</f>
        <v>318.782585714286</v>
      </c>
      <c r="L82" s="10">
        <f>AVERAGE(L75:L81)</f>
        <v>59.3272355859392</v>
      </c>
      <c r="M82" s="10">
        <f>AVERAGE(M75:M81)</f>
        <v>20.4482571428571</v>
      </c>
    </row>
    <row r="83" spans="2:13">
      <c r="B83" s="11">
        <v>2015</v>
      </c>
      <c r="C83" s="16" t="s">
        <v>23</v>
      </c>
      <c r="D83" s="17">
        <v>28.38</v>
      </c>
      <c r="E83" s="17">
        <v>1.57</v>
      </c>
      <c r="F83" s="17">
        <v>17.35</v>
      </c>
      <c r="G83" s="18">
        <v>66.07</v>
      </c>
      <c r="H83" s="18">
        <f>AVERAGE(H84:H85)</f>
        <v>10.25</v>
      </c>
      <c r="I83" s="17">
        <v>0.95</v>
      </c>
      <c r="J83" s="17">
        <v>373.9</v>
      </c>
      <c r="K83" s="17">
        <v>501.0895</v>
      </c>
      <c r="L83" s="17">
        <v>23.6992153443766</v>
      </c>
      <c r="M83" s="17">
        <v>8.1549</v>
      </c>
    </row>
    <row r="84" spans="2:13">
      <c r="B84" s="11">
        <v>2016</v>
      </c>
      <c r="C84" s="16" t="s">
        <v>23</v>
      </c>
      <c r="D84" s="17">
        <v>34.11</v>
      </c>
      <c r="E84" s="17">
        <v>17.76</v>
      </c>
      <c r="F84" s="17">
        <v>18.38</v>
      </c>
      <c r="G84" s="18">
        <v>66.07</v>
      </c>
      <c r="H84" s="18">
        <f>AVERAGE(H85:H86)</f>
        <v>9.9</v>
      </c>
      <c r="I84" s="17">
        <v>0.7</v>
      </c>
      <c r="J84" s="17">
        <v>408.1</v>
      </c>
      <c r="K84" s="17">
        <v>544.5358</v>
      </c>
      <c r="L84" s="17">
        <v>24.0381231671554</v>
      </c>
      <c r="M84" s="17">
        <v>8.197</v>
      </c>
    </row>
    <row r="85" spans="2:13">
      <c r="B85" s="11">
        <v>2017</v>
      </c>
      <c r="C85" s="16" t="s">
        <v>23</v>
      </c>
      <c r="D85" s="17">
        <v>42.99</v>
      </c>
      <c r="E85" s="17">
        <v>29.9</v>
      </c>
      <c r="F85" s="17">
        <v>26.63</v>
      </c>
      <c r="G85" s="18">
        <v>72.34</v>
      </c>
      <c r="H85" s="18">
        <f>AVERAGE(H86:H87)</f>
        <v>10.6</v>
      </c>
      <c r="I85" s="17">
        <v>0.34</v>
      </c>
      <c r="J85" s="17">
        <v>477.8</v>
      </c>
      <c r="K85" s="17">
        <v>634.6159</v>
      </c>
      <c r="L85" s="17">
        <v>25.4835341365462</v>
      </c>
      <c r="M85" s="17">
        <v>9.5181</v>
      </c>
    </row>
    <row r="86" spans="2:13">
      <c r="B86" s="11">
        <v>2018</v>
      </c>
      <c r="C86" s="16" t="s">
        <v>23</v>
      </c>
      <c r="D86" s="17">
        <v>51.51</v>
      </c>
      <c r="E86" s="17">
        <v>51.89</v>
      </c>
      <c r="F86" s="17">
        <v>30.23</v>
      </c>
      <c r="G86" s="18">
        <v>72.34</v>
      </c>
      <c r="H86" s="18">
        <v>9.2</v>
      </c>
      <c r="I86" s="17">
        <v>1.42</v>
      </c>
      <c r="J86" s="17">
        <v>571.8</v>
      </c>
      <c r="K86" s="17">
        <v>924.0219</v>
      </c>
      <c r="L86" s="17">
        <v>19.1999049203708</v>
      </c>
      <c r="M86" s="17">
        <v>8.0774</v>
      </c>
    </row>
    <row r="87" spans="2:13">
      <c r="B87" s="11">
        <v>2019</v>
      </c>
      <c r="C87" s="16" t="s">
        <v>23</v>
      </c>
      <c r="D87" s="17">
        <v>59.32</v>
      </c>
      <c r="E87" s="17">
        <v>50.17</v>
      </c>
      <c r="F87" s="17">
        <v>42.84</v>
      </c>
      <c r="G87" s="18">
        <v>84.86</v>
      </c>
      <c r="H87" s="18">
        <v>12</v>
      </c>
      <c r="I87" s="17">
        <v>1.97</v>
      </c>
      <c r="J87" s="17">
        <v>910</v>
      </c>
      <c r="K87" s="17">
        <v>814.6187</v>
      </c>
      <c r="L87" s="17">
        <v>17.6284140463622</v>
      </c>
      <c r="M87" s="17">
        <v>7.6807</v>
      </c>
    </row>
    <row r="88" spans="2:13">
      <c r="B88" s="11">
        <v>2020</v>
      </c>
      <c r="C88" s="16" t="s">
        <v>23</v>
      </c>
      <c r="D88" s="17">
        <v>59.63</v>
      </c>
      <c r="E88" s="17">
        <v>46.78</v>
      </c>
      <c r="F88" s="17">
        <v>47.16</v>
      </c>
      <c r="G88" s="18">
        <v>84.86</v>
      </c>
      <c r="H88" s="18">
        <v>4</v>
      </c>
      <c r="I88" s="17">
        <v>1.63</v>
      </c>
      <c r="J88" s="17">
        <v>900</v>
      </c>
      <c r="K88" s="17">
        <v>769.0812</v>
      </c>
      <c r="L88" s="17">
        <v>15.1034071956159</v>
      </c>
      <c r="M88" s="17">
        <v>6.3389</v>
      </c>
    </row>
    <row r="89" spans="2:13">
      <c r="B89" s="11">
        <v>2021</v>
      </c>
      <c r="C89" s="16" t="s">
        <v>23</v>
      </c>
      <c r="D89" s="17">
        <v>62.05</v>
      </c>
      <c r="E89" s="17">
        <v>52.22</v>
      </c>
      <c r="F89" s="17">
        <v>48.97</v>
      </c>
      <c r="G89" s="18">
        <v>84.86</v>
      </c>
      <c r="H89" s="18">
        <v>3.5</v>
      </c>
      <c r="I89" s="17">
        <v>1.44</v>
      </c>
      <c r="J89" s="17">
        <v>730</v>
      </c>
      <c r="K89" s="17">
        <v>791.6507</v>
      </c>
      <c r="L89" s="17">
        <v>17.8709359605911</v>
      </c>
      <c r="M89" s="17">
        <v>7.2556</v>
      </c>
    </row>
    <row r="90" spans="2:13">
      <c r="B90" s="11">
        <v>2022</v>
      </c>
      <c r="C90" s="16" t="s">
        <v>23</v>
      </c>
      <c r="D90" s="17">
        <v>71.29</v>
      </c>
      <c r="E90" s="17">
        <v>61.16</v>
      </c>
      <c r="F90" s="17">
        <v>62.79</v>
      </c>
      <c r="G90" s="18">
        <v>89.86</v>
      </c>
      <c r="H90" s="18">
        <v>11</v>
      </c>
      <c r="I90" s="17">
        <v>1.5</v>
      </c>
      <c r="J90" s="17">
        <v>498.9</v>
      </c>
      <c r="K90" s="17">
        <v>941.0981</v>
      </c>
      <c r="L90" s="17">
        <v>13.7989062888392</v>
      </c>
      <c r="M90" s="17">
        <v>5.5513</v>
      </c>
    </row>
    <row r="91" spans="2:13">
      <c r="B91" s="8">
        <v>2015</v>
      </c>
      <c r="C91" s="8" t="s">
        <v>24</v>
      </c>
      <c r="D91" s="22">
        <v>62.16</v>
      </c>
      <c r="E91" s="22">
        <v>55.09</v>
      </c>
      <c r="F91" s="22">
        <v>41.41</v>
      </c>
      <c r="G91" s="22">
        <v>89.86</v>
      </c>
      <c r="H91" s="22">
        <v>16</v>
      </c>
      <c r="I91" s="22">
        <v>10.63</v>
      </c>
      <c r="J91" s="22">
        <v>2140.6</v>
      </c>
      <c r="K91" s="22">
        <v>131212.5</v>
      </c>
      <c r="L91" s="22">
        <v>32.06</v>
      </c>
      <c r="M91" s="22">
        <v>22.25</v>
      </c>
    </row>
    <row r="92" spans="2:13">
      <c r="B92" s="8">
        <v>2016</v>
      </c>
      <c r="C92" s="8" t="s">
        <v>24</v>
      </c>
      <c r="D92" s="22">
        <v>62.68</v>
      </c>
      <c r="E92" s="22">
        <v>55.09</v>
      </c>
      <c r="F92" s="22">
        <v>42.99</v>
      </c>
      <c r="G92" s="22">
        <v>89.86</v>
      </c>
      <c r="H92" s="22">
        <v>19</v>
      </c>
      <c r="I92" s="22">
        <v>10.86</v>
      </c>
      <c r="J92" s="22">
        <v>2475</v>
      </c>
      <c r="K92" s="22">
        <v>133734.5</v>
      </c>
      <c r="L92" s="22">
        <v>25.22</v>
      </c>
      <c r="M92" s="22">
        <v>19.13</v>
      </c>
    </row>
    <row r="93" spans="2:13">
      <c r="B93" s="8">
        <v>2017</v>
      </c>
      <c r="C93" s="8" t="s">
        <v>24</v>
      </c>
      <c r="D93" s="22">
        <v>63.83</v>
      </c>
      <c r="E93" s="22">
        <v>58.53</v>
      </c>
      <c r="F93" s="22">
        <v>42.99</v>
      </c>
      <c r="G93" s="22">
        <v>89.86</v>
      </c>
      <c r="H93" s="22">
        <v>18.6</v>
      </c>
      <c r="I93" s="22">
        <v>8.88</v>
      </c>
      <c r="J93" s="22">
        <v>2759.6</v>
      </c>
      <c r="K93" s="22">
        <v>142831.2</v>
      </c>
      <c r="L93" s="22">
        <v>23.12</v>
      </c>
      <c r="M93" s="22">
        <v>19.12</v>
      </c>
    </row>
    <row r="94" spans="2:13">
      <c r="B94" s="8">
        <v>2018</v>
      </c>
      <c r="C94" s="8" t="s">
        <v>24</v>
      </c>
      <c r="D94" s="22">
        <v>63.83</v>
      </c>
      <c r="E94" s="22">
        <v>58.53</v>
      </c>
      <c r="F94" s="22">
        <v>42.99</v>
      </c>
      <c r="G94" s="22">
        <v>89.86</v>
      </c>
      <c r="H94" s="22">
        <v>19</v>
      </c>
      <c r="I94" s="22">
        <v>11.34</v>
      </c>
      <c r="J94" s="22">
        <v>2909.8</v>
      </c>
      <c r="K94" s="22">
        <v>152466.8</v>
      </c>
      <c r="L94" s="22">
        <v>22.81</v>
      </c>
      <c r="M94" s="22">
        <v>18.75</v>
      </c>
    </row>
    <row r="95" spans="2:13">
      <c r="B95" s="8">
        <v>2019</v>
      </c>
      <c r="C95" s="8" t="s">
        <v>24</v>
      </c>
      <c r="D95" s="22">
        <v>63.83</v>
      </c>
      <c r="E95" s="22">
        <v>58.53</v>
      </c>
      <c r="F95" s="22">
        <v>42.99</v>
      </c>
      <c r="G95" s="22">
        <v>89.86</v>
      </c>
      <c r="H95" s="22">
        <v>19</v>
      </c>
      <c r="I95" s="22">
        <v>12.03</v>
      </c>
      <c r="J95" s="22">
        <v>3070</v>
      </c>
      <c r="K95" s="22">
        <v>170097.5</v>
      </c>
      <c r="L95" s="22">
        <v>22.61</v>
      </c>
      <c r="M95" s="22">
        <v>18.51</v>
      </c>
    </row>
    <row r="96" spans="2:13">
      <c r="B96" s="8">
        <v>2020</v>
      </c>
      <c r="C96" s="8" t="s">
        <v>24</v>
      </c>
      <c r="D96" s="22">
        <v>62.02</v>
      </c>
      <c r="E96" s="22">
        <v>58.53</v>
      </c>
      <c r="F96" s="22">
        <v>37.55</v>
      </c>
      <c r="G96" s="22">
        <v>89.86</v>
      </c>
      <c r="H96" s="22">
        <v>18</v>
      </c>
      <c r="I96" s="22">
        <v>12.78</v>
      </c>
      <c r="J96" s="22">
        <v>3260</v>
      </c>
      <c r="K96" s="22">
        <v>176152.5</v>
      </c>
      <c r="L96" s="22">
        <v>22.66</v>
      </c>
      <c r="M96" s="22">
        <v>20.52</v>
      </c>
    </row>
    <row r="97" spans="2:13">
      <c r="B97" s="8">
        <v>2021</v>
      </c>
      <c r="C97" s="8" t="s">
        <v>24</v>
      </c>
      <c r="D97" s="22">
        <v>63.57</v>
      </c>
      <c r="E97" s="22">
        <v>61.91</v>
      </c>
      <c r="F97" s="22">
        <v>38.82</v>
      </c>
      <c r="G97" s="22">
        <v>89.86</v>
      </c>
      <c r="H97" s="22">
        <v>16</v>
      </c>
      <c r="I97" s="22">
        <v>12.39</v>
      </c>
      <c r="J97" s="22">
        <f>354.27*10</f>
        <v>3542.7</v>
      </c>
      <c r="K97" s="22">
        <v>153571.1</v>
      </c>
      <c r="L97" s="22">
        <v>18.4</v>
      </c>
      <c r="M97" s="22">
        <v>17.41</v>
      </c>
    </row>
    <row r="98" spans="2:13">
      <c r="B98" s="8">
        <v>2022</v>
      </c>
      <c r="C98" s="8" t="s">
        <v>24</v>
      </c>
      <c r="D98" s="22">
        <f>AVERAGE(D91:D97)</f>
        <v>63.1314285714286</v>
      </c>
      <c r="E98" s="22">
        <v>61.91</v>
      </c>
      <c r="F98" s="22">
        <v>38.82</v>
      </c>
      <c r="G98" s="22">
        <v>89.86</v>
      </c>
      <c r="H98" s="22">
        <v>22</v>
      </c>
      <c r="I98" s="22">
        <v>13.39</v>
      </c>
      <c r="J98" s="22">
        <f>365.5*10</f>
        <v>3655</v>
      </c>
      <c r="K98" s="22">
        <v>189260</v>
      </c>
      <c r="L98" s="22">
        <v>23.5</v>
      </c>
      <c r="M98" s="22">
        <v>20.18</v>
      </c>
    </row>
    <row r="99" spans="2:13">
      <c r="B99" s="23">
        <v>2015</v>
      </c>
      <c r="C99" s="23" t="s">
        <v>25</v>
      </c>
      <c r="D99" s="24">
        <v>31.41</v>
      </c>
      <c r="E99" s="24">
        <v>1.75</v>
      </c>
      <c r="F99" s="24">
        <v>7.41</v>
      </c>
      <c r="G99" s="24">
        <v>84.86</v>
      </c>
      <c r="H99" s="24">
        <f>AVERAGE(H100:H102)</f>
        <v>17.4866666666667</v>
      </c>
      <c r="I99" s="24">
        <f>2663*100/24034</f>
        <v>11.0801364733294</v>
      </c>
      <c r="J99" s="24">
        <v>127.9</v>
      </c>
      <c r="K99" s="24">
        <v>16569.9</v>
      </c>
      <c r="L99" s="24">
        <v>11.02</v>
      </c>
      <c r="M99" s="24">
        <v>8.11</v>
      </c>
    </row>
    <row r="100" spans="2:13">
      <c r="B100" s="23">
        <v>2016</v>
      </c>
      <c r="C100" s="23" t="s">
        <v>25</v>
      </c>
      <c r="D100" s="24">
        <v>31.41</v>
      </c>
      <c r="E100" s="24">
        <v>1.75</v>
      </c>
      <c r="F100" s="24">
        <v>7.41</v>
      </c>
      <c r="G100" s="24">
        <v>84.86</v>
      </c>
      <c r="H100" s="24">
        <f>AVERAGE(H101:H103)</f>
        <v>16.86</v>
      </c>
      <c r="I100" s="24">
        <f>2562*100/23043</f>
        <v>11.1183439656295</v>
      </c>
      <c r="J100" s="24">
        <v>358</v>
      </c>
      <c r="K100" s="24">
        <v>17254.5</v>
      </c>
      <c r="L100" s="24">
        <v>11.8</v>
      </c>
      <c r="M100" s="24">
        <v>7.38</v>
      </c>
    </row>
    <row r="101" spans="2:13">
      <c r="B101" s="23">
        <v>2017</v>
      </c>
      <c r="C101" s="23" t="s">
        <v>25</v>
      </c>
      <c r="D101" s="24">
        <v>37.8</v>
      </c>
      <c r="E101" s="24">
        <v>2.08</v>
      </c>
      <c r="F101" s="24">
        <v>20.01</v>
      </c>
      <c r="G101" s="24">
        <v>91.12</v>
      </c>
      <c r="H101" s="24">
        <v>19</v>
      </c>
      <c r="I101" s="24">
        <f>2624*100/23610</f>
        <v>11.1139347734011</v>
      </c>
      <c r="J101" s="24">
        <v>333.8</v>
      </c>
      <c r="K101" s="24">
        <v>11528.6</v>
      </c>
      <c r="L101" s="24">
        <v>7.41</v>
      </c>
      <c r="M101" s="24">
        <v>4.77</v>
      </c>
    </row>
    <row r="102" spans="2:13">
      <c r="B102" s="23">
        <v>2018</v>
      </c>
      <c r="C102" s="23" t="s">
        <v>25</v>
      </c>
      <c r="D102" s="24">
        <v>52.54</v>
      </c>
      <c r="E102" s="24">
        <v>31.8</v>
      </c>
      <c r="F102" s="24">
        <v>34.55</v>
      </c>
      <c r="G102" s="24">
        <v>91.12</v>
      </c>
      <c r="H102" s="24">
        <v>16.6</v>
      </c>
      <c r="I102" s="24">
        <v>13</v>
      </c>
      <c r="J102" s="24">
        <v>322</v>
      </c>
      <c r="K102" s="24">
        <v>15035.6</v>
      </c>
      <c r="L102" s="24">
        <v>10.54</v>
      </c>
      <c r="M102" s="24">
        <v>6.43</v>
      </c>
    </row>
    <row r="103" spans="2:13">
      <c r="B103" s="23">
        <v>2019</v>
      </c>
      <c r="C103" s="23" t="s">
        <v>25</v>
      </c>
      <c r="D103" s="24">
        <v>62.46</v>
      </c>
      <c r="E103" s="24">
        <v>39.41</v>
      </c>
      <c r="F103" s="24">
        <v>56.74</v>
      </c>
      <c r="G103" s="24">
        <v>91.12</v>
      </c>
      <c r="H103" s="24">
        <v>14.98</v>
      </c>
      <c r="I103" s="24">
        <v>13</v>
      </c>
      <c r="J103" s="24">
        <v>334.2</v>
      </c>
      <c r="K103" s="24">
        <v>17710</v>
      </c>
      <c r="L103" s="24">
        <v>10.25</v>
      </c>
      <c r="M103" s="24">
        <v>6.53</v>
      </c>
    </row>
    <row r="104" spans="2:13">
      <c r="B104" s="23">
        <v>2020</v>
      </c>
      <c r="C104" s="23" t="s">
        <v>25</v>
      </c>
      <c r="D104" s="24">
        <v>62.46</v>
      </c>
      <c r="E104" s="24">
        <v>39.41</v>
      </c>
      <c r="F104" s="24">
        <v>56.74</v>
      </c>
      <c r="G104" s="24">
        <v>91.12</v>
      </c>
      <c r="H104" s="24">
        <v>24.47</v>
      </c>
      <c r="I104" s="24">
        <v>14</v>
      </c>
      <c r="J104" s="24">
        <v>362.4</v>
      </c>
      <c r="K104" s="24">
        <v>20313.4</v>
      </c>
      <c r="L104" s="24">
        <v>9.94</v>
      </c>
      <c r="M104" s="24">
        <v>6.49</v>
      </c>
    </row>
    <row r="105" spans="2:13">
      <c r="B105" s="23">
        <v>2021</v>
      </c>
      <c r="C105" s="23" t="s">
        <v>25</v>
      </c>
      <c r="D105" s="24">
        <v>64.29</v>
      </c>
      <c r="E105" s="24">
        <v>44.91</v>
      </c>
      <c r="F105" s="24">
        <v>56.74</v>
      </c>
      <c r="G105" s="24">
        <v>91.12</v>
      </c>
      <c r="H105" s="24">
        <v>17.17</v>
      </c>
      <c r="I105" s="24">
        <v>14</v>
      </c>
      <c r="J105" s="24">
        <v>481.5</v>
      </c>
      <c r="K105" s="24">
        <v>31847.7</v>
      </c>
      <c r="L105" s="24">
        <v>13.79</v>
      </c>
      <c r="M105" s="24">
        <v>9.85</v>
      </c>
    </row>
    <row r="106" spans="2:13">
      <c r="B106" s="23">
        <v>2022</v>
      </c>
      <c r="C106" s="23" t="s">
        <v>25</v>
      </c>
      <c r="D106" s="24">
        <v>63.64</v>
      </c>
      <c r="E106" s="24">
        <v>43.19</v>
      </c>
      <c r="F106" s="24">
        <v>56.5</v>
      </c>
      <c r="G106" s="24">
        <v>91.12</v>
      </c>
      <c r="H106" s="24">
        <v>21.7</v>
      </c>
      <c r="I106" s="24">
        <v>13</v>
      </c>
      <c r="J106" s="24">
        <v>906.1</v>
      </c>
      <c r="K106" s="24">
        <v>35008.3</v>
      </c>
      <c r="L106" s="24">
        <v>12.85</v>
      </c>
      <c r="M106" s="24">
        <v>9.63</v>
      </c>
    </row>
    <row r="107" spans="2:13">
      <c r="B107" s="25">
        <v>2015</v>
      </c>
      <c r="C107" s="25" t="s">
        <v>26</v>
      </c>
      <c r="D107" s="26">
        <v>45.78</v>
      </c>
      <c r="E107" s="26">
        <v>25.82</v>
      </c>
      <c r="F107" s="26">
        <v>21.49</v>
      </c>
      <c r="G107" s="26">
        <v>89.86</v>
      </c>
      <c r="H107" s="26">
        <v>3.49</v>
      </c>
      <c r="I107" s="26">
        <v>8.66</v>
      </c>
      <c r="J107" s="26">
        <v>158.02</v>
      </c>
      <c r="K107" s="26">
        <v>238783.9</v>
      </c>
      <c r="L107" s="26">
        <v>22.95</v>
      </c>
      <c r="M107" s="26">
        <v>6.1</v>
      </c>
    </row>
    <row r="108" spans="2:13">
      <c r="B108" s="25">
        <v>2016</v>
      </c>
      <c r="C108" s="25" t="s">
        <v>26</v>
      </c>
      <c r="D108" s="26">
        <v>46.69</v>
      </c>
      <c r="E108" s="26">
        <v>34.73</v>
      </c>
      <c r="F108" s="26">
        <v>15.3</v>
      </c>
      <c r="G108" s="26">
        <v>81.29</v>
      </c>
      <c r="H108" s="26">
        <v>3.49</v>
      </c>
      <c r="I108" s="26">
        <v>8.66</v>
      </c>
      <c r="J108" s="26">
        <v>158.02</v>
      </c>
      <c r="K108" s="26">
        <v>215967.3</v>
      </c>
      <c r="L108" s="26">
        <v>17.13</v>
      </c>
      <c r="M108" s="26">
        <v>4.58</v>
      </c>
    </row>
    <row r="109" spans="2:13">
      <c r="B109" s="25">
        <v>2017</v>
      </c>
      <c r="C109" s="25" t="s">
        <v>26</v>
      </c>
      <c r="D109" s="26">
        <v>49.14</v>
      </c>
      <c r="E109" s="26">
        <v>42.1</v>
      </c>
      <c r="F109" s="26">
        <v>15.3</v>
      </c>
      <c r="G109" s="26">
        <v>81.29</v>
      </c>
      <c r="H109" s="26">
        <v>3.49</v>
      </c>
      <c r="I109" s="26">
        <v>8.66</v>
      </c>
      <c r="J109" s="26">
        <v>158.02</v>
      </c>
      <c r="K109" s="26">
        <v>155938</v>
      </c>
      <c r="L109" s="26">
        <v>10.88</v>
      </c>
      <c r="M109" s="26">
        <v>2.76</v>
      </c>
    </row>
    <row r="110" spans="2:13">
      <c r="B110" s="25">
        <v>2018</v>
      </c>
      <c r="C110" s="25" t="s">
        <v>26</v>
      </c>
      <c r="D110" s="26">
        <v>52.21</v>
      </c>
      <c r="E110" s="26">
        <v>44.07</v>
      </c>
      <c r="F110" s="26">
        <v>22.55</v>
      </c>
      <c r="G110" s="26">
        <v>81.29</v>
      </c>
      <c r="H110" s="26">
        <v>3.49</v>
      </c>
      <c r="I110" s="26">
        <v>8.66</v>
      </c>
      <c r="J110" s="26">
        <v>158.02</v>
      </c>
      <c r="K110" s="26">
        <v>87188.1</v>
      </c>
      <c r="L110" s="26">
        <v>11.71</v>
      </c>
      <c r="M110" s="26">
        <v>2.97</v>
      </c>
    </row>
    <row r="111" spans="2:13">
      <c r="B111" s="25">
        <v>2019</v>
      </c>
      <c r="C111" s="25" t="s">
        <v>26</v>
      </c>
      <c r="D111" s="26">
        <v>44.57</v>
      </c>
      <c r="E111" s="26">
        <v>28.39</v>
      </c>
      <c r="F111" s="26">
        <v>15.3</v>
      </c>
      <c r="G111" s="26">
        <v>81.29</v>
      </c>
      <c r="H111" s="26">
        <v>3.49</v>
      </c>
      <c r="I111" s="26">
        <v>8.66</v>
      </c>
      <c r="J111" s="26">
        <v>158.02</v>
      </c>
      <c r="K111" s="26">
        <v>19796.1</v>
      </c>
      <c r="L111" s="26">
        <v>-37.05</v>
      </c>
      <c r="M111" s="26">
        <v>-9.03</v>
      </c>
    </row>
    <row r="112" spans="2:13">
      <c r="B112" s="25">
        <v>2020</v>
      </c>
      <c r="C112" s="25" t="s">
        <v>26</v>
      </c>
      <c r="D112" s="26">
        <v>48.39</v>
      </c>
      <c r="E112" s="26">
        <v>34.4</v>
      </c>
      <c r="F112" s="26">
        <v>20.74</v>
      </c>
      <c r="G112" s="26">
        <v>81.29</v>
      </c>
      <c r="H112" s="26">
        <v>3.49</v>
      </c>
      <c r="I112" s="26">
        <v>8.66</v>
      </c>
      <c r="J112" s="26">
        <v>158.02</v>
      </c>
      <c r="K112" s="26">
        <v>-10114.4</v>
      </c>
      <c r="L112" s="26">
        <v>-19.58</v>
      </c>
      <c r="M112" s="26">
        <v>-3.84</v>
      </c>
    </row>
    <row r="113" spans="2:13">
      <c r="B113" s="25">
        <v>2021</v>
      </c>
      <c r="C113" s="25" t="s">
        <v>26</v>
      </c>
      <c r="D113" s="26">
        <v>44.93</v>
      </c>
      <c r="E113" s="26">
        <v>31.26</v>
      </c>
      <c r="F113" s="26">
        <v>13.48</v>
      </c>
      <c r="G113" s="26">
        <v>81.29</v>
      </c>
      <c r="H113" s="26">
        <v>3.49</v>
      </c>
      <c r="I113" s="26">
        <v>8.66</v>
      </c>
      <c r="J113" s="26">
        <v>158.02</v>
      </c>
      <c r="K113" s="26">
        <v>69237.6</v>
      </c>
      <c r="L113" s="26">
        <v>-22.73</v>
      </c>
      <c r="M113" s="26">
        <v>-4.04</v>
      </c>
    </row>
    <row r="114" spans="2:13">
      <c r="B114" s="25">
        <v>2022</v>
      </c>
      <c r="C114" s="25" t="s">
        <v>26</v>
      </c>
      <c r="D114" s="26">
        <v>45.45</v>
      </c>
      <c r="E114" s="26">
        <v>31.26</v>
      </c>
      <c r="F114" s="26">
        <v>15.05</v>
      </c>
      <c r="G114" s="26">
        <v>81.29</v>
      </c>
      <c r="H114" s="26">
        <v>3.49</v>
      </c>
      <c r="I114" s="26">
        <v>18.3</v>
      </c>
      <c r="J114" s="26">
        <v>158.02</v>
      </c>
      <c r="K114" s="26">
        <v>-369.2</v>
      </c>
      <c r="L114" s="26">
        <v>-22.93</v>
      </c>
      <c r="M114" s="26">
        <v>-3.4</v>
      </c>
    </row>
    <row r="115" spans="2:13">
      <c r="B115" s="11">
        <v>2015</v>
      </c>
      <c r="C115" s="11" t="s">
        <v>27</v>
      </c>
      <c r="D115" s="17">
        <v>39.98</v>
      </c>
      <c r="E115" s="17">
        <v>16.79</v>
      </c>
      <c r="F115" s="17">
        <v>24.4</v>
      </c>
      <c r="G115" s="17">
        <v>78.6</v>
      </c>
      <c r="H115" s="17">
        <v>6.1</v>
      </c>
      <c r="I115" s="17">
        <v>3.66</v>
      </c>
      <c r="J115" s="17">
        <v>132.8</v>
      </c>
      <c r="K115" s="17">
        <v>29681.7</v>
      </c>
      <c r="L115" s="17">
        <v>38.89</v>
      </c>
      <c r="M115" s="17">
        <v>22.76</v>
      </c>
    </row>
    <row r="116" spans="2:13">
      <c r="B116" s="11">
        <v>2016</v>
      </c>
      <c r="C116" s="11" t="s">
        <v>27</v>
      </c>
      <c r="D116" s="17">
        <v>39.12</v>
      </c>
      <c r="E116" s="17">
        <v>16.79</v>
      </c>
      <c r="F116" s="17">
        <v>21.83</v>
      </c>
      <c r="G116" s="17">
        <v>78.6</v>
      </c>
      <c r="H116" s="17">
        <v>4.02</v>
      </c>
      <c r="I116" s="17">
        <v>3.66</v>
      </c>
      <c r="J116" s="17">
        <v>666.4</v>
      </c>
      <c r="K116" s="17">
        <v>39544.5</v>
      </c>
      <c r="L116" s="17">
        <v>40.88</v>
      </c>
      <c r="M116" s="17">
        <v>26.68</v>
      </c>
    </row>
    <row r="117" spans="2:13">
      <c r="B117" s="11">
        <v>2017</v>
      </c>
      <c r="C117" s="11" t="s">
        <v>27</v>
      </c>
      <c r="D117" s="17">
        <v>48.89</v>
      </c>
      <c r="E117" s="17">
        <v>40.2</v>
      </c>
      <c r="F117" s="17">
        <v>27.75</v>
      </c>
      <c r="G117" s="17">
        <v>78.6</v>
      </c>
      <c r="H117" s="17">
        <v>1.74</v>
      </c>
      <c r="I117" s="17">
        <v>2.29</v>
      </c>
      <c r="J117" s="17">
        <v>706.2</v>
      </c>
      <c r="K117" s="17">
        <v>40737.2</v>
      </c>
      <c r="L117" s="17">
        <v>37.43</v>
      </c>
      <c r="M117" s="17">
        <v>25.41</v>
      </c>
    </row>
    <row r="118" spans="2:13">
      <c r="B118" s="11">
        <v>2018</v>
      </c>
      <c r="C118" s="11" t="s">
        <v>27</v>
      </c>
      <c r="D118" s="17">
        <v>57.05</v>
      </c>
      <c r="E118" s="17">
        <v>56.6</v>
      </c>
      <c r="F118" s="17">
        <v>29.56</v>
      </c>
      <c r="G118" s="17">
        <v>84.86</v>
      </c>
      <c r="H118" s="17">
        <v>1.42</v>
      </c>
      <c r="I118" s="17">
        <v>3.09</v>
      </c>
      <c r="J118" s="17">
        <v>826</v>
      </c>
      <c r="K118" s="17">
        <v>47500.7</v>
      </c>
      <c r="L118" s="17">
        <v>33.39</v>
      </c>
      <c r="M118" s="17">
        <v>22.75</v>
      </c>
    </row>
    <row r="119" spans="2:13">
      <c r="B119" s="11">
        <v>2019</v>
      </c>
      <c r="C119" s="11" t="s">
        <v>27</v>
      </c>
      <c r="D119" s="17">
        <v>58.56</v>
      </c>
      <c r="E119" s="17">
        <v>61.13</v>
      </c>
      <c r="F119" s="17">
        <v>29.56</v>
      </c>
      <c r="G119" s="17">
        <v>84.86</v>
      </c>
      <c r="H119" s="17">
        <v>1.8</v>
      </c>
      <c r="I119" s="17">
        <v>3.3</v>
      </c>
      <c r="J119" s="17">
        <v>1019.5</v>
      </c>
      <c r="K119" s="17">
        <v>43939.9</v>
      </c>
      <c r="L119" s="17">
        <v>27.45</v>
      </c>
      <c r="M119" s="17">
        <v>19.19</v>
      </c>
    </row>
    <row r="120" spans="2:13">
      <c r="B120" s="11">
        <v>2020</v>
      </c>
      <c r="C120" s="11" t="s">
        <v>27</v>
      </c>
      <c r="D120" s="17">
        <v>58.82</v>
      </c>
      <c r="E120" s="17">
        <v>61.13</v>
      </c>
      <c r="F120" s="17">
        <v>30.35</v>
      </c>
      <c r="G120" s="17">
        <v>84.86</v>
      </c>
      <c r="H120" s="17">
        <v>7</v>
      </c>
      <c r="I120" s="17">
        <v>4.8</v>
      </c>
      <c r="J120" s="17">
        <v>1312.2</v>
      </c>
      <c r="K120" s="17">
        <v>32151.6</v>
      </c>
      <c r="L120" s="17">
        <v>26.43</v>
      </c>
      <c r="M120" s="17">
        <v>19.06</v>
      </c>
    </row>
    <row r="121" spans="2:13">
      <c r="B121" s="11">
        <v>2021</v>
      </c>
      <c r="C121" s="11" t="s">
        <v>27</v>
      </c>
      <c r="D121" s="17">
        <v>61.07</v>
      </c>
      <c r="E121" s="17">
        <v>64.51</v>
      </c>
      <c r="F121" s="17">
        <v>33.74</v>
      </c>
      <c r="G121" s="17">
        <v>84.86</v>
      </c>
      <c r="H121" s="17">
        <v>4</v>
      </c>
      <c r="I121" s="17">
        <v>4.83</v>
      </c>
      <c r="J121" s="17">
        <v>683.5</v>
      </c>
      <c r="K121" s="17">
        <v>33843.9</v>
      </c>
      <c r="L121" s="17">
        <v>19.57</v>
      </c>
      <c r="M121" s="17">
        <v>13.64</v>
      </c>
    </row>
    <row r="122" spans="2:13">
      <c r="B122" s="11">
        <v>2022</v>
      </c>
      <c r="C122" s="11" t="s">
        <v>27</v>
      </c>
      <c r="D122" s="17">
        <v>47.85</v>
      </c>
      <c r="E122" s="17">
        <v>38.9</v>
      </c>
      <c r="F122" s="17">
        <v>24.31</v>
      </c>
      <c r="G122" s="17">
        <v>80.21</v>
      </c>
      <c r="H122" s="17">
        <v>4.02</v>
      </c>
      <c r="I122" s="17">
        <v>3.66</v>
      </c>
      <c r="J122" s="17">
        <v>620.34</v>
      </c>
      <c r="K122" s="17">
        <v>27552.5</v>
      </c>
      <c r="L122" s="17">
        <v>14.82</v>
      </c>
      <c r="M122" s="17">
        <v>10.17</v>
      </c>
    </row>
    <row r="123" spans="2:13">
      <c r="B123" s="8">
        <v>2015</v>
      </c>
      <c r="C123" s="8" t="s">
        <v>28</v>
      </c>
      <c r="D123" s="10">
        <v>54.23</v>
      </c>
      <c r="E123" s="10">
        <v>56.3878</v>
      </c>
      <c r="F123" s="10">
        <v>23.821</v>
      </c>
      <c r="G123" s="10">
        <v>82.36</v>
      </c>
      <c r="H123" s="10">
        <v>19</v>
      </c>
      <c r="I123" s="10">
        <f>26592*100/88417</f>
        <v>30.0756641822274</v>
      </c>
      <c r="J123" s="10">
        <v>532.1</v>
      </c>
      <c r="K123" s="10">
        <v>35415</v>
      </c>
      <c r="L123" s="10">
        <v>24.528</v>
      </c>
      <c r="M123" s="10">
        <v>14.6855</v>
      </c>
    </row>
    <row r="124" spans="2:13">
      <c r="B124" s="8">
        <v>2016</v>
      </c>
      <c r="C124" s="8" t="s">
        <v>28</v>
      </c>
      <c r="D124" s="10">
        <v>55.7992</v>
      </c>
      <c r="E124" s="10">
        <v>56.3878</v>
      </c>
      <c r="F124" s="10">
        <v>28.5369</v>
      </c>
      <c r="G124" s="10">
        <v>82.36</v>
      </c>
      <c r="H124" s="10">
        <v>20</v>
      </c>
      <c r="I124" s="10">
        <v>30</v>
      </c>
      <c r="J124" s="10">
        <v>414</v>
      </c>
      <c r="K124" s="10">
        <v>35117</v>
      </c>
      <c r="L124" s="10">
        <v>22.2493</v>
      </c>
      <c r="M124" s="10">
        <v>14.1265</v>
      </c>
    </row>
    <row r="125" spans="2:13">
      <c r="B125" s="8">
        <v>2017</v>
      </c>
      <c r="C125" s="8" t="s">
        <v>28</v>
      </c>
      <c r="D125" s="10">
        <v>54.5116</v>
      </c>
      <c r="E125" s="10">
        <v>53.277</v>
      </c>
      <c r="F125" s="10">
        <v>27.7811</v>
      </c>
      <c r="G125" s="10">
        <v>82.36</v>
      </c>
      <c r="H125" s="10">
        <v>17</v>
      </c>
      <c r="I125" s="10">
        <v>30.85</v>
      </c>
      <c r="J125" s="10">
        <v>608.2</v>
      </c>
      <c r="K125" s="10">
        <v>32063</v>
      </c>
      <c r="L125" s="10">
        <v>18.0972</v>
      </c>
      <c r="M125" s="10">
        <v>11.5778</v>
      </c>
    </row>
    <row r="126" spans="2:13">
      <c r="B126" s="8">
        <v>2018</v>
      </c>
      <c r="C126" s="8" t="s">
        <v>28</v>
      </c>
      <c r="D126" s="10">
        <v>56.7951</v>
      </c>
      <c r="E126" s="10">
        <v>54.9985</v>
      </c>
      <c r="F126" s="10">
        <v>32.9202</v>
      </c>
      <c r="G126" s="10">
        <v>82.36</v>
      </c>
      <c r="H126" s="10">
        <v>18</v>
      </c>
      <c r="I126" s="10">
        <v>30.17</v>
      </c>
      <c r="J126" s="10">
        <v>715.5</v>
      </c>
      <c r="K126" s="10">
        <v>36246</v>
      </c>
      <c r="L126" s="10">
        <v>21.0963</v>
      </c>
      <c r="M126" s="10">
        <v>13.4497</v>
      </c>
    </row>
    <row r="127" spans="2:13">
      <c r="B127" s="8">
        <v>2019</v>
      </c>
      <c r="C127" s="8" t="s">
        <v>28</v>
      </c>
      <c r="D127" s="10">
        <v>63.9573</v>
      </c>
      <c r="E127" s="10">
        <v>58.6832</v>
      </c>
      <c r="F127" s="10">
        <v>48.2467</v>
      </c>
      <c r="G127" s="10">
        <v>84.8585</v>
      </c>
      <c r="H127" s="10">
        <v>20.8</v>
      </c>
      <c r="I127" s="10">
        <v>31.15</v>
      </c>
      <c r="J127" s="10">
        <v>844.1</v>
      </c>
      <c r="K127" s="10">
        <v>52077</v>
      </c>
      <c r="L127" s="10">
        <v>21.0675</v>
      </c>
      <c r="M127" s="10">
        <v>13.4544</v>
      </c>
    </row>
    <row r="128" spans="2:13">
      <c r="B128" s="8">
        <v>2020</v>
      </c>
      <c r="C128" s="8" t="s">
        <v>28</v>
      </c>
      <c r="D128" s="10">
        <v>67.9107</v>
      </c>
      <c r="E128" s="10">
        <v>67.2908</v>
      </c>
      <c r="F128" s="10">
        <v>49.0024</v>
      </c>
      <c r="G128" s="10">
        <v>87.357</v>
      </c>
      <c r="H128" s="10">
        <v>19.1</v>
      </c>
      <c r="I128" s="10">
        <v>31.05</v>
      </c>
      <c r="J128" s="10">
        <v>947.5</v>
      </c>
      <c r="K128" s="10">
        <v>42803</v>
      </c>
      <c r="L128" s="10">
        <v>18.6678</v>
      </c>
      <c r="M128" s="10">
        <v>11.3926</v>
      </c>
    </row>
    <row r="129" spans="2:13">
      <c r="B129" s="8">
        <v>2021</v>
      </c>
      <c r="C129" s="8" t="s">
        <v>28</v>
      </c>
      <c r="D129" s="10">
        <v>68.2628</v>
      </c>
      <c r="E129" s="10">
        <v>67.2908</v>
      </c>
      <c r="F129" s="10">
        <v>50.0605</v>
      </c>
      <c r="G129" s="10">
        <v>87.357</v>
      </c>
      <c r="H129" s="10">
        <v>13.3</v>
      </c>
      <c r="I129" s="10">
        <v>31.75</v>
      </c>
      <c r="J129" s="10">
        <v>1050</v>
      </c>
      <c r="K129" s="10">
        <v>53893</v>
      </c>
      <c r="L129" s="10">
        <v>18.4236</v>
      </c>
      <c r="M129" s="10">
        <v>11.4966</v>
      </c>
    </row>
    <row r="130" spans="2:13">
      <c r="B130" s="8">
        <v>2022</v>
      </c>
      <c r="C130" s="8" t="s">
        <v>28</v>
      </c>
      <c r="D130" s="10">
        <v>67.8503</v>
      </c>
      <c r="E130" s="10">
        <v>67.6231</v>
      </c>
      <c r="F130" s="10">
        <v>48.4885</v>
      </c>
      <c r="G130" s="10">
        <v>87.357</v>
      </c>
      <c r="H130" s="10">
        <v>23.5</v>
      </c>
      <c r="I130" s="10">
        <v>34.09</v>
      </c>
      <c r="J130" s="10">
        <v>1086</v>
      </c>
      <c r="K130" s="10">
        <v>64996</v>
      </c>
      <c r="L130" s="10">
        <v>20.7954</v>
      </c>
      <c r="M130" s="10">
        <v>13.1666</v>
      </c>
    </row>
    <row r="131" spans="2:13">
      <c r="B131" s="11">
        <v>2015</v>
      </c>
      <c r="C131" s="11" t="s">
        <v>29</v>
      </c>
      <c r="D131" s="17">
        <v>55.7791</v>
      </c>
      <c r="E131" s="17">
        <v>46.421</v>
      </c>
      <c r="F131" s="17">
        <v>33.4341</v>
      </c>
      <c r="G131" s="17">
        <v>87.357</v>
      </c>
      <c r="H131" s="17">
        <v>18.9</v>
      </c>
      <c r="I131" s="17">
        <v>35.089</v>
      </c>
      <c r="J131" s="17">
        <f>AVERAGE(J132:J134)</f>
        <v>990.666666666667</v>
      </c>
      <c r="K131" s="17">
        <v>133570</v>
      </c>
      <c r="L131" s="17">
        <v>24.4274</v>
      </c>
      <c r="M131" s="17">
        <v>19.981</v>
      </c>
    </row>
    <row r="132" spans="2:13">
      <c r="B132" s="11">
        <v>2016</v>
      </c>
      <c r="C132" s="11" t="s">
        <v>29</v>
      </c>
      <c r="D132" s="17">
        <v>56.6341</v>
      </c>
      <c r="E132" s="17">
        <v>46.421</v>
      </c>
      <c r="F132" s="17">
        <v>36.0036</v>
      </c>
      <c r="G132" s="17">
        <v>87.357</v>
      </c>
      <c r="H132" s="17">
        <v>13.6</v>
      </c>
      <c r="I132" s="17">
        <v>35.6</v>
      </c>
      <c r="J132" s="17">
        <f>AVERAGE(J133:J135)</f>
        <v>1042</v>
      </c>
      <c r="K132" s="17">
        <v>154510</v>
      </c>
      <c r="L132" s="17">
        <v>23.3194</v>
      </c>
      <c r="M132" s="17">
        <v>19.0361</v>
      </c>
    </row>
    <row r="133" spans="2:13">
      <c r="B133" s="11">
        <v>2017</v>
      </c>
      <c r="C133" s="11" t="s">
        <v>29</v>
      </c>
      <c r="D133" s="17">
        <v>58.0223</v>
      </c>
      <c r="E133" s="17">
        <v>46.421</v>
      </c>
      <c r="F133" s="17">
        <v>40.1753</v>
      </c>
      <c r="G133" s="17">
        <v>87.357</v>
      </c>
      <c r="H133" s="17">
        <v>19.226</v>
      </c>
      <c r="I133" s="17">
        <v>36.05</v>
      </c>
      <c r="J133" s="17">
        <v>250</v>
      </c>
      <c r="K133" s="17">
        <v>169010</v>
      </c>
      <c r="L133" s="17">
        <v>21.9755</v>
      </c>
      <c r="M133" s="17">
        <v>18.0832</v>
      </c>
    </row>
    <row r="134" spans="2:13">
      <c r="B134" s="11">
        <v>2018</v>
      </c>
      <c r="C134" s="11" t="s">
        <v>29</v>
      </c>
      <c r="D134" s="17">
        <v>64.0579</v>
      </c>
      <c r="E134" s="17">
        <v>49.2902</v>
      </c>
      <c r="F134" s="17">
        <v>52.9323</v>
      </c>
      <c r="G134" s="17">
        <v>89.8555</v>
      </c>
      <c r="H134" s="17">
        <v>19.96</v>
      </c>
      <c r="I134" s="17">
        <v>36.11</v>
      </c>
      <c r="J134" s="17">
        <v>1680</v>
      </c>
      <c r="K134" s="17">
        <v>171480</v>
      </c>
      <c r="L134" s="17">
        <v>23.7997</v>
      </c>
      <c r="M134" s="17">
        <v>19.638</v>
      </c>
    </row>
    <row r="135" spans="2:13">
      <c r="B135" s="11">
        <v>2019</v>
      </c>
      <c r="C135" s="11" t="s">
        <v>29</v>
      </c>
      <c r="D135" s="17">
        <v>59.5212</v>
      </c>
      <c r="E135" s="17">
        <v>40.6826</v>
      </c>
      <c r="F135" s="17">
        <v>52.9323</v>
      </c>
      <c r="G135" s="17">
        <v>84.8585</v>
      </c>
      <c r="H135" s="17">
        <v>20.33</v>
      </c>
      <c r="I135" s="17">
        <v>36.67</v>
      </c>
      <c r="J135" s="17">
        <v>1196</v>
      </c>
      <c r="K135" s="17">
        <v>188800</v>
      </c>
      <c r="L135" s="17">
        <v>24.316</v>
      </c>
      <c r="M135" s="17">
        <v>18.7137</v>
      </c>
    </row>
    <row r="136" spans="2:13">
      <c r="B136" s="11">
        <v>2020</v>
      </c>
      <c r="C136" s="11" t="s">
        <v>29</v>
      </c>
      <c r="D136" s="17">
        <v>56.3726</v>
      </c>
      <c r="E136" s="17">
        <v>42.4041</v>
      </c>
      <c r="F136" s="17">
        <v>41.7473</v>
      </c>
      <c r="G136" s="17">
        <v>84.8585</v>
      </c>
      <c r="H136" s="17">
        <v>21.39</v>
      </c>
      <c r="I136" s="17">
        <v>37.82</v>
      </c>
      <c r="J136" s="17">
        <v>1153.5</v>
      </c>
      <c r="K136" s="17">
        <v>193740</v>
      </c>
      <c r="L136" s="17">
        <v>25.3994</v>
      </c>
      <c r="M136" s="17">
        <v>18.6968</v>
      </c>
    </row>
    <row r="137" spans="2:13">
      <c r="B137" s="11">
        <v>2021</v>
      </c>
      <c r="C137" s="11" t="s">
        <v>29</v>
      </c>
      <c r="D137" s="17">
        <v>60.2656</v>
      </c>
      <c r="E137" s="17">
        <v>42.7363</v>
      </c>
      <c r="F137" s="17">
        <v>48.0955</v>
      </c>
      <c r="G137" s="17">
        <v>89.8555</v>
      </c>
      <c r="H137" s="17">
        <v>13.9</v>
      </c>
      <c r="I137" s="17">
        <v>38.64</v>
      </c>
      <c r="J137" s="17">
        <v>3253.2</v>
      </c>
      <c r="K137" s="17">
        <v>246220</v>
      </c>
      <c r="L137" s="17">
        <v>27.3244</v>
      </c>
      <c r="M137" s="17">
        <v>19.24</v>
      </c>
    </row>
    <row r="138" spans="2:13">
      <c r="B138" s="11">
        <v>2022</v>
      </c>
      <c r="C138" s="11" t="s">
        <v>29</v>
      </c>
      <c r="D138" s="17">
        <v>65.0236</v>
      </c>
      <c r="E138" s="17">
        <v>42.7363</v>
      </c>
      <c r="F138" s="17">
        <v>56.1064</v>
      </c>
      <c r="G138" s="17">
        <v>96.1168</v>
      </c>
      <c r="H138" s="17">
        <v>30.38</v>
      </c>
      <c r="I138" s="17">
        <v>39.6</v>
      </c>
      <c r="J138" s="17">
        <v>3449.1</v>
      </c>
      <c r="K138" s="17">
        <v>280150</v>
      </c>
      <c r="L138" s="17">
        <v>29.1426</v>
      </c>
      <c r="M138" s="17">
        <v>19.5429</v>
      </c>
    </row>
    <row r="139" spans="2:13">
      <c r="B139" s="8">
        <v>2015</v>
      </c>
      <c r="C139" s="8" t="s">
        <v>30</v>
      </c>
      <c r="D139" s="10">
        <v>33.2964</v>
      </c>
      <c r="E139" s="10">
        <v>0.4228</v>
      </c>
      <c r="F139" s="10">
        <v>26.844</v>
      </c>
      <c r="G139" s="10">
        <v>72.4865</v>
      </c>
      <c r="H139" s="10">
        <f t="shared" ref="H139:H143" si="6">AVERAGE(H140:H141)</f>
        <v>5.9928125</v>
      </c>
      <c r="I139" s="10">
        <v>21</v>
      </c>
      <c r="J139" s="10">
        <v>1158</v>
      </c>
      <c r="K139" s="10">
        <v>20.7211</v>
      </c>
      <c r="L139" s="10">
        <v>11.0299</v>
      </c>
      <c r="M139" s="10">
        <v>0.667</v>
      </c>
    </row>
    <row r="140" spans="2:13">
      <c r="B140" s="8">
        <v>2016</v>
      </c>
      <c r="C140" s="8" t="s">
        <v>30</v>
      </c>
      <c r="D140" s="10">
        <v>26.4159</v>
      </c>
      <c r="E140" s="10">
        <v>2.084</v>
      </c>
      <c r="F140" s="10">
        <v>25.3023</v>
      </c>
      <c r="G140" s="10">
        <v>51.776</v>
      </c>
      <c r="H140" s="10">
        <f t="shared" si="6"/>
        <v>5.994375</v>
      </c>
      <c r="I140" s="10">
        <v>21.46</v>
      </c>
      <c r="J140" s="10">
        <v>1439.2</v>
      </c>
      <c r="K140" s="10">
        <v>13.9722</v>
      </c>
      <c r="L140" s="10">
        <v>7.1574</v>
      </c>
      <c r="M140" s="10">
        <v>0.4235</v>
      </c>
    </row>
    <row r="141" spans="2:13">
      <c r="B141" s="8">
        <v>2017</v>
      </c>
      <c r="C141" s="8" t="s">
        <v>30</v>
      </c>
      <c r="D141" s="10">
        <v>30.2686</v>
      </c>
      <c r="E141" s="10">
        <v>4.6512</v>
      </c>
      <c r="F141" s="10">
        <v>34.3108</v>
      </c>
      <c r="G141" s="10">
        <v>51.776</v>
      </c>
      <c r="H141" s="10">
        <f t="shared" si="6"/>
        <v>5.99125</v>
      </c>
      <c r="I141" s="10">
        <v>23</v>
      </c>
      <c r="J141" s="10">
        <v>898.2</v>
      </c>
      <c r="K141" s="10">
        <v>0.6392</v>
      </c>
      <c r="L141" s="10">
        <v>0.1367</v>
      </c>
      <c r="M141" s="10">
        <v>0.0074</v>
      </c>
    </row>
    <row r="142" spans="2:13">
      <c r="B142" s="8">
        <v>2018</v>
      </c>
      <c r="C142" s="8" t="s">
        <v>30</v>
      </c>
      <c r="D142" s="10">
        <v>35.2882</v>
      </c>
      <c r="E142" s="10">
        <v>4.6512</v>
      </c>
      <c r="F142" s="10">
        <v>34.3108</v>
      </c>
      <c r="G142" s="10">
        <v>66.7971</v>
      </c>
      <c r="H142" s="10">
        <f t="shared" si="6"/>
        <v>5.9975</v>
      </c>
      <c r="I142" s="10">
        <v>24</v>
      </c>
      <c r="J142" s="10">
        <v>929.6</v>
      </c>
      <c r="K142" s="10">
        <v>0.62</v>
      </c>
      <c r="L142" s="10">
        <v>-2.0267</v>
      </c>
      <c r="M142" s="10">
        <v>-0.129</v>
      </c>
    </row>
    <row r="143" spans="2:13">
      <c r="B143" s="8">
        <v>2019</v>
      </c>
      <c r="C143" s="8" t="s">
        <v>30</v>
      </c>
      <c r="D143" s="10">
        <v>37.1693</v>
      </c>
      <c r="E143" s="10">
        <v>12.3528</v>
      </c>
      <c r="F143" s="10">
        <v>32.2551</v>
      </c>
      <c r="G143" s="10">
        <v>66.7971</v>
      </c>
      <c r="H143" s="10">
        <f t="shared" si="6"/>
        <v>5.985</v>
      </c>
      <c r="I143" s="10">
        <v>24.34</v>
      </c>
      <c r="J143" s="10">
        <v>488.1</v>
      </c>
      <c r="K143" s="10">
        <v>2.9759</v>
      </c>
      <c r="L143" s="10">
        <v>0.9992</v>
      </c>
      <c r="M143" s="10">
        <v>0.0613</v>
      </c>
    </row>
    <row r="144" spans="2:13">
      <c r="B144" s="8">
        <v>2020</v>
      </c>
      <c r="C144" s="8" t="s">
        <v>30</v>
      </c>
      <c r="D144" s="10">
        <v>42.9232</v>
      </c>
      <c r="E144" s="10">
        <v>27.0613</v>
      </c>
      <c r="F144" s="10">
        <v>34.8247</v>
      </c>
      <c r="G144" s="10">
        <v>66.7971</v>
      </c>
      <c r="H144" s="10">
        <v>6.01</v>
      </c>
      <c r="I144" s="10">
        <v>25.28</v>
      </c>
      <c r="J144" s="10">
        <v>150.9</v>
      </c>
      <c r="K144" s="10">
        <v>14.6983</v>
      </c>
      <c r="L144" s="10">
        <v>8.1505</v>
      </c>
      <c r="M144" s="10">
        <v>0.4889</v>
      </c>
    </row>
    <row r="145" spans="2:13">
      <c r="B145" s="8">
        <v>2021</v>
      </c>
      <c r="C145" s="8" t="s">
        <v>30</v>
      </c>
      <c r="D145" s="10">
        <v>48.4358</v>
      </c>
      <c r="E145" s="10">
        <v>27.0613</v>
      </c>
      <c r="F145" s="10">
        <v>33.2527</v>
      </c>
      <c r="G145" s="10">
        <v>84.8585</v>
      </c>
      <c r="H145" s="10">
        <v>5.96</v>
      </c>
      <c r="I145" s="10">
        <v>25.92</v>
      </c>
      <c r="J145" s="10">
        <v>1167.1</v>
      </c>
      <c r="K145" s="10">
        <v>14.479</v>
      </c>
      <c r="L145" s="10">
        <v>8.5167</v>
      </c>
      <c r="M145" s="10">
        <v>0.4955</v>
      </c>
    </row>
    <row r="146" spans="2:13">
      <c r="B146" s="8">
        <v>2022</v>
      </c>
      <c r="C146" s="8" t="s">
        <v>30</v>
      </c>
      <c r="D146" s="10">
        <v>51.2122</v>
      </c>
      <c r="E146" s="10">
        <v>34.3703</v>
      </c>
      <c r="F146" s="10">
        <v>34.2805</v>
      </c>
      <c r="G146" s="10">
        <v>84.8585</v>
      </c>
      <c r="H146" s="10">
        <v>4.72</v>
      </c>
      <c r="I146" s="10">
        <v>26.55</v>
      </c>
      <c r="J146" s="10">
        <v>2039.7</v>
      </c>
      <c r="K146" s="10">
        <v>20.1121</v>
      </c>
      <c r="L146" s="10">
        <v>12.1777</v>
      </c>
      <c r="M146" s="10">
        <v>0.6932</v>
      </c>
    </row>
    <row r="147" spans="2:13">
      <c r="B147" s="11">
        <v>2015</v>
      </c>
      <c r="C147" s="11" t="s">
        <v>31</v>
      </c>
      <c r="D147" s="17">
        <v>53.1</v>
      </c>
      <c r="E147" s="17">
        <v>48.51</v>
      </c>
      <c r="F147" s="17">
        <v>20.8</v>
      </c>
      <c r="G147" s="17">
        <v>89.86</v>
      </c>
      <c r="H147" s="17">
        <v>16.1</v>
      </c>
      <c r="I147" s="17">
        <v>30.2</v>
      </c>
      <c r="J147" s="17">
        <v>1327</v>
      </c>
      <c r="K147" s="17">
        <v>91786</v>
      </c>
      <c r="L147" s="17">
        <v>22.34</v>
      </c>
      <c r="M147" s="17">
        <v>15.7</v>
      </c>
    </row>
    <row r="148" spans="2:13">
      <c r="B148" s="11">
        <v>2016</v>
      </c>
      <c r="C148" s="11" t="s">
        <v>31</v>
      </c>
      <c r="D148" s="17">
        <v>55.96</v>
      </c>
      <c r="E148" s="17">
        <v>55.27</v>
      </c>
      <c r="F148" s="17">
        <v>22.61</v>
      </c>
      <c r="G148" s="17">
        <v>89.86</v>
      </c>
      <c r="H148" s="17">
        <v>16.3</v>
      </c>
      <c r="I148" s="17">
        <v>32</v>
      </c>
      <c r="J148" s="17">
        <v>1598</v>
      </c>
      <c r="K148" s="17">
        <v>92993</v>
      </c>
      <c r="L148" s="17">
        <v>19.94</v>
      </c>
      <c r="M148" s="17">
        <v>13.46</v>
      </c>
    </row>
    <row r="149" spans="2:13">
      <c r="B149" s="11">
        <v>2017</v>
      </c>
      <c r="C149" s="11" t="s">
        <v>31</v>
      </c>
      <c r="D149" s="17">
        <v>56.48</v>
      </c>
      <c r="E149" s="17">
        <v>55.27</v>
      </c>
      <c r="F149" s="17">
        <v>24.18</v>
      </c>
      <c r="G149" s="17">
        <v>89.86</v>
      </c>
      <c r="H149" s="17">
        <v>16.8</v>
      </c>
      <c r="I149" s="17">
        <v>34</v>
      </c>
      <c r="J149" s="17">
        <v>1863</v>
      </c>
      <c r="K149" s="17">
        <v>90102</v>
      </c>
      <c r="L149" s="17">
        <v>16.67</v>
      </c>
      <c r="M149" s="17">
        <v>11.19</v>
      </c>
    </row>
    <row r="150" spans="2:13">
      <c r="B150" s="11">
        <v>2018</v>
      </c>
      <c r="C150" s="11" t="s">
        <v>31</v>
      </c>
      <c r="D150" s="17">
        <v>58.18</v>
      </c>
      <c r="E150" s="17">
        <v>57.02</v>
      </c>
      <c r="F150" s="17">
        <v>27.54</v>
      </c>
      <c r="G150" s="17">
        <v>89.86</v>
      </c>
      <c r="H150" s="17">
        <v>17.6</v>
      </c>
      <c r="I150" s="17">
        <v>35</v>
      </c>
      <c r="J150" s="17">
        <v>1866</v>
      </c>
      <c r="K150" s="17">
        <v>82806</v>
      </c>
      <c r="L150" s="17">
        <v>15.13</v>
      </c>
      <c r="M150" s="17">
        <v>10.31</v>
      </c>
    </row>
    <row r="151" spans="2:13">
      <c r="B151" s="11">
        <v>2019</v>
      </c>
      <c r="C151" s="11" t="s">
        <v>31</v>
      </c>
      <c r="D151" s="17">
        <v>61.02</v>
      </c>
      <c r="E151" s="17">
        <v>60.4</v>
      </c>
      <c r="F151" s="17">
        <v>32.68</v>
      </c>
      <c r="G151" s="17">
        <v>89.86</v>
      </c>
      <c r="H151" s="17">
        <v>14.7</v>
      </c>
      <c r="I151" s="17">
        <v>35.2</v>
      </c>
      <c r="J151" s="17">
        <v>1853</v>
      </c>
      <c r="K151" s="17">
        <v>96695</v>
      </c>
      <c r="L151" s="17">
        <v>16.51</v>
      </c>
      <c r="M151" s="17">
        <v>11.3</v>
      </c>
    </row>
    <row r="152" spans="2:13">
      <c r="B152" s="11">
        <v>2020</v>
      </c>
      <c r="C152" s="11" t="s">
        <v>31</v>
      </c>
      <c r="D152" s="17">
        <v>56.38</v>
      </c>
      <c r="E152" s="17">
        <v>44.91</v>
      </c>
      <c r="F152" s="17">
        <v>34.25</v>
      </c>
      <c r="G152" s="17">
        <v>89.86</v>
      </c>
      <c r="H152" s="17">
        <v>12</v>
      </c>
      <c r="I152" s="17">
        <v>35</v>
      </c>
      <c r="J152" s="17">
        <v>1818</v>
      </c>
      <c r="K152" s="17">
        <v>102561</v>
      </c>
      <c r="L152" s="17">
        <v>16.89</v>
      </c>
      <c r="M152" s="17">
        <v>11.78</v>
      </c>
    </row>
    <row r="153" spans="2:13">
      <c r="B153" s="11">
        <v>2021</v>
      </c>
      <c r="C153" s="11" t="s">
        <v>31</v>
      </c>
      <c r="D153" s="17">
        <v>57.09</v>
      </c>
      <c r="E153" s="17">
        <v>46.63</v>
      </c>
      <c r="F153" s="17">
        <v>34.64</v>
      </c>
      <c r="G153" s="17">
        <v>89.86</v>
      </c>
      <c r="H153" s="17">
        <v>22.9</v>
      </c>
      <c r="I153" s="17">
        <v>35.7</v>
      </c>
      <c r="J153" s="17">
        <v>2512</v>
      </c>
      <c r="K153" s="17">
        <v>120058</v>
      </c>
      <c r="L153" s="17">
        <v>19.07</v>
      </c>
      <c r="M153" s="17">
        <v>13.1</v>
      </c>
    </row>
    <row r="154" spans="2:13">
      <c r="B154" s="11">
        <v>2022</v>
      </c>
      <c r="C154" s="11" t="s">
        <v>31</v>
      </c>
      <c r="D154" s="17">
        <v>58.04</v>
      </c>
      <c r="E154" s="17">
        <v>46.63</v>
      </c>
      <c r="F154" s="17">
        <v>37.52</v>
      </c>
      <c r="G154" s="17">
        <v>89.86</v>
      </c>
      <c r="H154" s="17">
        <v>20.4</v>
      </c>
      <c r="I154" s="17">
        <v>36</v>
      </c>
      <c r="J154" s="17">
        <v>2216</v>
      </c>
      <c r="K154" s="17">
        <v>135931</v>
      </c>
      <c r="L154" s="17">
        <v>19.73</v>
      </c>
      <c r="M154" s="17">
        <v>12.79</v>
      </c>
    </row>
    <row r="155" spans="2:13">
      <c r="B155" s="8">
        <v>2015</v>
      </c>
      <c r="C155" s="8" t="s">
        <v>32</v>
      </c>
      <c r="D155" s="10">
        <v>37.1794</v>
      </c>
      <c r="E155" s="10">
        <v>17.6382</v>
      </c>
      <c r="F155" s="10">
        <v>17.6542</v>
      </c>
      <c r="G155" s="10">
        <v>76.0987</v>
      </c>
      <c r="H155" s="10">
        <f>AVERAGE(H156:H157)</f>
        <v>3.58</v>
      </c>
      <c r="I155" s="10">
        <f>AVERAGE(I156:I157)</f>
        <v>33.855</v>
      </c>
      <c r="J155" s="10">
        <v>39.1</v>
      </c>
      <c r="K155" s="10">
        <v>8.1932</v>
      </c>
      <c r="L155" s="10">
        <v>4.3732</v>
      </c>
      <c r="M155" s="10">
        <v>2.5404</v>
      </c>
    </row>
    <row r="156" spans="2:13">
      <c r="B156" s="8">
        <v>2016</v>
      </c>
      <c r="C156" s="8" t="s">
        <v>32</v>
      </c>
      <c r="D156" s="10">
        <v>40.1066</v>
      </c>
      <c r="E156" s="10">
        <v>20.4772</v>
      </c>
      <c r="F156" s="10">
        <v>23.6094</v>
      </c>
      <c r="G156" s="10">
        <v>76.0987</v>
      </c>
      <c r="H156" s="10">
        <f>AVERAGE(H157:H158)</f>
        <v>3.62</v>
      </c>
      <c r="I156" s="10">
        <v>33.35</v>
      </c>
      <c r="J156" s="10">
        <v>55.3</v>
      </c>
      <c r="K156" s="10">
        <v>8.2282</v>
      </c>
      <c r="L156" s="10">
        <v>3.6126</v>
      </c>
      <c r="M156" s="10">
        <v>-0.0565</v>
      </c>
    </row>
    <row r="157" spans="2:13">
      <c r="B157" s="8">
        <v>2017</v>
      </c>
      <c r="C157" s="8" t="s">
        <v>32</v>
      </c>
      <c r="D157" s="10">
        <v>40.2877</v>
      </c>
      <c r="E157" s="10">
        <v>21.0208</v>
      </c>
      <c r="F157" s="10">
        <v>23.6094</v>
      </c>
      <c r="G157" s="10">
        <v>76.0987</v>
      </c>
      <c r="H157" s="10">
        <f>AVERAGE(H158:H159)</f>
        <v>3.54</v>
      </c>
      <c r="I157" s="10">
        <v>34.36</v>
      </c>
      <c r="J157" s="10">
        <v>53.1</v>
      </c>
      <c r="K157" s="10">
        <v>9.9556</v>
      </c>
      <c r="L157" s="10">
        <v>6.1708</v>
      </c>
      <c r="M157" s="10">
        <v>3.9688</v>
      </c>
    </row>
    <row r="158" spans="2:13">
      <c r="B158" s="8">
        <v>2018</v>
      </c>
      <c r="C158" s="8" t="s">
        <v>32</v>
      </c>
      <c r="D158" s="10">
        <v>42.7724</v>
      </c>
      <c r="E158" s="10">
        <v>23.0142</v>
      </c>
      <c r="F158" s="10">
        <v>26.5719</v>
      </c>
      <c r="G158" s="10">
        <v>78.5972</v>
      </c>
      <c r="H158" s="10">
        <v>3.7</v>
      </c>
      <c r="I158" s="10">
        <v>40</v>
      </c>
      <c r="J158" s="10">
        <v>65.1</v>
      </c>
      <c r="K158" s="10">
        <v>10.7754</v>
      </c>
      <c r="L158" s="10">
        <v>7.2231</v>
      </c>
      <c r="M158" s="10">
        <v>4.9052</v>
      </c>
    </row>
    <row r="159" spans="2:13">
      <c r="B159" s="8">
        <v>2019</v>
      </c>
      <c r="C159" s="8" t="s">
        <v>32</v>
      </c>
      <c r="D159" s="10">
        <v>44.4724</v>
      </c>
      <c r="E159" s="10">
        <v>28.1184</v>
      </c>
      <c r="F159" s="10">
        <v>26.5719</v>
      </c>
      <c r="G159" s="10">
        <v>78.5972</v>
      </c>
      <c r="H159" s="10">
        <v>3.38</v>
      </c>
      <c r="I159" s="10">
        <v>30</v>
      </c>
      <c r="J159" s="10">
        <v>80.9</v>
      </c>
      <c r="K159" s="10">
        <v>9.2681</v>
      </c>
      <c r="L159" s="10">
        <v>5.6831</v>
      </c>
      <c r="M159" s="10">
        <v>3.7917</v>
      </c>
    </row>
    <row r="160" spans="2:13">
      <c r="B160" s="8">
        <v>2020</v>
      </c>
      <c r="C160" s="8" t="s">
        <v>32</v>
      </c>
      <c r="D160" s="10">
        <v>46.6854</v>
      </c>
      <c r="E160" s="10">
        <v>34.7629</v>
      </c>
      <c r="F160" s="10">
        <v>26.5719</v>
      </c>
      <c r="G160" s="10">
        <v>78.5972</v>
      </c>
      <c r="H160" s="10">
        <v>10.3</v>
      </c>
      <c r="I160" s="10">
        <v>27.8</v>
      </c>
      <c r="J160" s="10">
        <v>89.6</v>
      </c>
      <c r="K160" s="10">
        <v>11.0023</v>
      </c>
      <c r="L160" s="10">
        <v>4.4961</v>
      </c>
      <c r="M160" s="10">
        <v>3.1232</v>
      </c>
    </row>
    <row r="161" spans="2:13">
      <c r="B161" s="8">
        <v>2021</v>
      </c>
      <c r="C161" s="8" t="s">
        <v>32</v>
      </c>
      <c r="D161" s="10">
        <v>50.8198</v>
      </c>
      <c r="E161" s="10">
        <v>47.1761</v>
      </c>
      <c r="F161" s="10">
        <v>26.5719</v>
      </c>
      <c r="G161" s="10">
        <v>78.5972</v>
      </c>
      <c r="H161" s="10">
        <v>10.9</v>
      </c>
      <c r="I161" s="10">
        <v>34</v>
      </c>
      <c r="J161" s="10">
        <v>120</v>
      </c>
      <c r="K161" s="10">
        <v>11.1744</v>
      </c>
      <c r="L161" s="10">
        <v>6.8065</v>
      </c>
      <c r="M161" s="10">
        <v>4.4207</v>
      </c>
    </row>
    <row r="162" spans="2:13">
      <c r="B162" s="8">
        <v>2022</v>
      </c>
      <c r="C162" s="8" t="s">
        <v>32</v>
      </c>
      <c r="D162" s="10">
        <v>56.2519</v>
      </c>
      <c r="E162" s="10">
        <v>48.0217</v>
      </c>
      <c r="F162" s="10">
        <v>35.7618</v>
      </c>
      <c r="G162" s="10">
        <v>84.8585</v>
      </c>
      <c r="H162" s="10">
        <v>13.1</v>
      </c>
      <c r="I162" s="10">
        <v>32</v>
      </c>
      <c r="J162" s="10">
        <v>135</v>
      </c>
      <c r="K162" s="10">
        <v>11.669</v>
      </c>
      <c r="L162" s="10">
        <v>6.4539</v>
      </c>
      <c r="M162" s="10">
        <v>4.5236</v>
      </c>
    </row>
    <row r="163" spans="2:13">
      <c r="B163" s="11">
        <v>2015</v>
      </c>
      <c r="C163" s="11" t="s">
        <v>33</v>
      </c>
      <c r="D163" s="17">
        <v>43.1747</v>
      </c>
      <c r="E163" s="17">
        <v>15.6146</v>
      </c>
      <c r="F163" s="17">
        <v>32.6784</v>
      </c>
      <c r="G163" s="17">
        <v>81.0957</v>
      </c>
      <c r="H163" s="17">
        <f t="shared" ref="H163:H167" si="7">AVERAGE(H164:H165)</f>
        <v>19.4015625</v>
      </c>
      <c r="I163" s="17">
        <v>9.52</v>
      </c>
      <c r="J163" s="17">
        <v>1290</v>
      </c>
      <c r="K163" s="17">
        <v>158572</v>
      </c>
      <c r="L163" s="17">
        <v>9.21</v>
      </c>
      <c r="M163" s="17">
        <v>2.74</v>
      </c>
    </row>
    <row r="164" spans="2:13">
      <c r="B164" s="11">
        <v>2016</v>
      </c>
      <c r="C164" s="11" t="s">
        <v>33</v>
      </c>
      <c r="D164" s="17">
        <v>47.1683</v>
      </c>
      <c r="E164" s="17">
        <v>18.7557</v>
      </c>
      <c r="F164" s="17">
        <v>35.2479</v>
      </c>
      <c r="G164" s="17">
        <v>87.357</v>
      </c>
      <c r="H164" s="17">
        <f t="shared" si="7"/>
        <v>19.396875</v>
      </c>
      <c r="I164" s="17">
        <v>8</v>
      </c>
      <c r="J164" s="17">
        <v>575</v>
      </c>
      <c r="K164" s="17">
        <v>165344</v>
      </c>
      <c r="L164" s="17">
        <v>7.05</v>
      </c>
      <c r="M164" s="17">
        <v>2.88</v>
      </c>
    </row>
    <row r="165" spans="2:13">
      <c r="B165" s="11">
        <v>2017</v>
      </c>
      <c r="C165" s="11" t="s">
        <v>33</v>
      </c>
      <c r="D165" s="17">
        <v>46.5949</v>
      </c>
      <c r="E165" s="17">
        <v>17.0341</v>
      </c>
      <c r="F165" s="17">
        <v>35.2479</v>
      </c>
      <c r="G165" s="17">
        <v>87.357</v>
      </c>
      <c r="H165" s="17">
        <f t="shared" si="7"/>
        <v>19.40625</v>
      </c>
      <c r="I165" s="17">
        <v>8</v>
      </c>
      <c r="J165" s="17">
        <v>1246</v>
      </c>
      <c r="K165" s="17">
        <v>155568</v>
      </c>
      <c r="L165" s="17">
        <v>6</v>
      </c>
      <c r="M165" s="17">
        <v>1.66</v>
      </c>
    </row>
    <row r="166" spans="2:13">
      <c r="B166" s="11">
        <v>2018</v>
      </c>
      <c r="C166" s="11" t="s">
        <v>33</v>
      </c>
      <c r="D166" s="17">
        <v>51.7051</v>
      </c>
      <c r="E166" s="17">
        <v>20.1752</v>
      </c>
      <c r="F166" s="17">
        <v>47.4607</v>
      </c>
      <c r="G166" s="17">
        <v>87.357</v>
      </c>
      <c r="H166" s="17">
        <f t="shared" si="7"/>
        <v>19.3875</v>
      </c>
      <c r="I166" s="17">
        <v>9.1</v>
      </c>
      <c r="J166" s="17">
        <v>1204</v>
      </c>
      <c r="K166" s="17">
        <v>32699</v>
      </c>
      <c r="L166" s="17">
        <v>2.56</v>
      </c>
      <c r="M166" s="17">
        <v>0.45</v>
      </c>
    </row>
    <row r="167" spans="2:13">
      <c r="B167" s="11">
        <v>2019</v>
      </c>
      <c r="C167" s="11" t="s">
        <v>33</v>
      </c>
      <c r="D167" s="17">
        <v>54.0589</v>
      </c>
      <c r="E167" s="17">
        <v>25.672</v>
      </c>
      <c r="F167" s="17">
        <v>49.0326</v>
      </c>
      <c r="G167" s="17">
        <v>87.357</v>
      </c>
      <c r="H167" s="17">
        <f t="shared" si="7"/>
        <v>19.425</v>
      </c>
      <c r="I167" s="17">
        <v>8.88</v>
      </c>
      <c r="J167" s="17">
        <v>1292</v>
      </c>
      <c r="K167" s="17">
        <v>-17318</v>
      </c>
      <c r="L167" s="17">
        <v>-5.38</v>
      </c>
      <c r="M167" s="17">
        <v>0.16</v>
      </c>
    </row>
    <row r="168" spans="2:13">
      <c r="B168" s="11">
        <v>2020</v>
      </c>
      <c r="C168" s="11" t="s">
        <v>33</v>
      </c>
      <c r="D168" s="17">
        <v>55.2862</v>
      </c>
      <c r="E168" s="17">
        <v>29.3567</v>
      </c>
      <c r="F168" s="17">
        <v>49.0326</v>
      </c>
      <c r="G168" s="17">
        <v>87.357</v>
      </c>
      <c r="H168" s="17">
        <v>19.35</v>
      </c>
      <c r="I168" s="17">
        <v>8.89</v>
      </c>
      <c r="J168" s="17">
        <v>1638</v>
      </c>
      <c r="K168" s="17">
        <v>89199</v>
      </c>
      <c r="L168" s="17">
        <v>-8.79</v>
      </c>
      <c r="M168" s="17">
        <v>-10.12</v>
      </c>
    </row>
    <row r="169" spans="2:13">
      <c r="B169" s="11">
        <v>2021</v>
      </c>
      <c r="C169" s="11" t="s">
        <v>33</v>
      </c>
      <c r="D169" s="17">
        <v>59.7022</v>
      </c>
      <c r="E169" s="17">
        <v>40.0483</v>
      </c>
      <c r="F169" s="17">
        <v>51.6022</v>
      </c>
      <c r="G169" s="17">
        <v>87.357</v>
      </c>
      <c r="H169" s="17">
        <v>19.5</v>
      </c>
      <c r="I169" s="17">
        <v>9</v>
      </c>
      <c r="J169" s="17">
        <v>1114</v>
      </c>
      <c r="K169" s="17">
        <v>159673</v>
      </c>
      <c r="L169" s="17">
        <v>-31.88</v>
      </c>
      <c r="M169" s="17">
        <v>-4.27</v>
      </c>
    </row>
    <row r="170" spans="2:13">
      <c r="B170" s="11">
        <v>2022</v>
      </c>
      <c r="C170" s="11" t="s">
        <v>33</v>
      </c>
      <c r="D170" s="17">
        <v>59.4206</v>
      </c>
      <c r="E170" s="17">
        <v>39.2027</v>
      </c>
      <c r="F170" s="17">
        <v>51.6022</v>
      </c>
      <c r="G170" s="17">
        <v>87.357</v>
      </c>
      <c r="H170" s="17">
        <v>29.1</v>
      </c>
      <c r="I170" s="17">
        <v>10</v>
      </c>
      <c r="J170" s="17">
        <v>678</v>
      </c>
      <c r="K170" s="17">
        <v>244432</v>
      </c>
      <c r="L170" s="17">
        <v>4.89</v>
      </c>
      <c r="M170" s="17">
        <v>1.2</v>
      </c>
    </row>
    <row r="171" spans="2:13">
      <c r="B171" s="8">
        <v>2015</v>
      </c>
      <c r="C171" s="8" t="s">
        <v>34</v>
      </c>
      <c r="D171" s="10">
        <v>50.42</v>
      </c>
      <c r="E171" s="10">
        <v>44.79</v>
      </c>
      <c r="F171" s="10">
        <v>27.75</v>
      </c>
      <c r="G171" s="10">
        <v>78.6</v>
      </c>
      <c r="H171" s="10">
        <f>AVERAGE(H172:H173)</f>
        <v>22.9</v>
      </c>
      <c r="I171" s="10">
        <v>16.27</v>
      </c>
      <c r="J171" s="10">
        <v>273.2</v>
      </c>
      <c r="K171" s="10">
        <f>AVERAGE(K172:K173)</f>
        <v>14915.575</v>
      </c>
      <c r="L171" s="10">
        <v>18.2346</v>
      </c>
      <c r="M171" s="10">
        <v>1.829</v>
      </c>
    </row>
    <row r="172" spans="2:13">
      <c r="B172" s="8">
        <v>2016</v>
      </c>
      <c r="C172" s="8" t="s">
        <v>34</v>
      </c>
      <c r="D172" s="10">
        <v>48.42</v>
      </c>
      <c r="E172" s="10">
        <v>32.11</v>
      </c>
      <c r="F172" s="10">
        <v>31.92</v>
      </c>
      <c r="G172" s="10">
        <v>81.1</v>
      </c>
      <c r="H172" s="10">
        <f>AVERAGE(H173:H174)</f>
        <v>22.8</v>
      </c>
      <c r="I172" s="10">
        <v>17.35</v>
      </c>
      <c r="J172" s="10">
        <v>273.2</v>
      </c>
      <c r="K172" s="10">
        <v>13603.38</v>
      </c>
      <c r="L172" s="10">
        <v>16.1026</v>
      </c>
      <c r="M172" s="10">
        <v>1.8145</v>
      </c>
    </row>
    <row r="173" spans="2:13">
      <c r="B173" s="8">
        <v>2017</v>
      </c>
      <c r="C173" s="8" t="s">
        <v>34</v>
      </c>
      <c r="D173" s="10">
        <v>51.61</v>
      </c>
      <c r="E173" s="10">
        <v>34.67</v>
      </c>
      <c r="F173" s="10">
        <v>32.68</v>
      </c>
      <c r="G173" s="10">
        <v>87.36</v>
      </c>
      <c r="H173" s="10">
        <v>23</v>
      </c>
      <c r="I173" s="10">
        <v>18.58</v>
      </c>
      <c r="J173" s="10">
        <v>338.1</v>
      </c>
      <c r="K173" s="10">
        <v>16227.77</v>
      </c>
      <c r="L173" s="10">
        <v>14.947</v>
      </c>
      <c r="M173" s="10">
        <v>1.7838</v>
      </c>
    </row>
    <row r="174" spans="2:13">
      <c r="B174" s="8">
        <v>2018</v>
      </c>
      <c r="C174" s="8" t="s">
        <v>34</v>
      </c>
      <c r="D174" s="10">
        <v>50.96</v>
      </c>
      <c r="E174" s="10">
        <v>32.71</v>
      </c>
      <c r="F174" s="10">
        <v>32.68</v>
      </c>
      <c r="G174" s="10">
        <v>87.36</v>
      </c>
      <c r="H174" s="10">
        <v>22.6</v>
      </c>
      <c r="I174" s="10">
        <v>18.67</v>
      </c>
      <c r="J174" s="10">
        <v>204.7</v>
      </c>
      <c r="K174" s="10">
        <v>21273.72</v>
      </c>
      <c r="L174" s="10">
        <v>16.1848</v>
      </c>
      <c r="M174" s="10">
        <v>1.8017</v>
      </c>
    </row>
    <row r="175" spans="2:13">
      <c r="B175" s="8">
        <v>2019</v>
      </c>
      <c r="C175" s="8" t="s">
        <v>34</v>
      </c>
      <c r="D175" s="10">
        <v>65.78</v>
      </c>
      <c r="E175" s="10">
        <v>51.34</v>
      </c>
      <c r="F175" s="10">
        <v>58.56</v>
      </c>
      <c r="G175" s="10">
        <v>87.36</v>
      </c>
      <c r="H175" s="10">
        <v>21.6</v>
      </c>
      <c r="I175" s="10">
        <v>18.26</v>
      </c>
      <c r="J175" s="10">
        <v>554.6</v>
      </c>
      <c r="K175" s="10">
        <v>27261.97</v>
      </c>
      <c r="L175" s="10">
        <v>13.0666</v>
      </c>
      <c r="M175" s="10">
        <v>1.3217</v>
      </c>
    </row>
    <row r="176" spans="2:13">
      <c r="B176" s="8">
        <v>2020</v>
      </c>
      <c r="C176" s="8" t="s">
        <v>34</v>
      </c>
      <c r="D176" s="10">
        <v>66.9</v>
      </c>
      <c r="E176" s="10">
        <v>54.73</v>
      </c>
      <c r="F176" s="10">
        <v>58.56</v>
      </c>
      <c r="G176" s="10">
        <v>87.36</v>
      </c>
      <c r="H176" s="10">
        <v>20</v>
      </c>
      <c r="I176" s="10">
        <v>18</v>
      </c>
      <c r="J176" s="10">
        <v>1081.1</v>
      </c>
      <c r="K176" s="10">
        <v>27016.21</v>
      </c>
      <c r="L176" s="10">
        <v>14.532</v>
      </c>
      <c r="M176" s="10">
        <v>1.5239</v>
      </c>
    </row>
    <row r="177" spans="2:13">
      <c r="B177" s="8">
        <v>2021</v>
      </c>
      <c r="C177" s="8" t="s">
        <v>34</v>
      </c>
      <c r="D177" s="10">
        <v>65.6</v>
      </c>
      <c r="E177" s="10">
        <v>50.8</v>
      </c>
      <c r="F177" s="10">
        <v>58.56</v>
      </c>
      <c r="G177" s="10">
        <v>87.36</v>
      </c>
      <c r="H177" s="10">
        <v>21</v>
      </c>
      <c r="I177" s="10">
        <v>19</v>
      </c>
      <c r="J177" s="10">
        <v>947.2</v>
      </c>
      <c r="K177" s="10">
        <v>28567.34</v>
      </c>
      <c r="L177" s="10">
        <v>7.4886</v>
      </c>
      <c r="M177" s="10">
        <v>0.8744</v>
      </c>
    </row>
    <row r="178" spans="2:13">
      <c r="B178" s="8">
        <v>2022</v>
      </c>
      <c r="C178" s="8" t="s">
        <v>34</v>
      </c>
      <c r="D178" s="10">
        <v>65.6</v>
      </c>
      <c r="E178" s="10">
        <v>50.8</v>
      </c>
      <c r="F178" s="10">
        <v>58.56</v>
      </c>
      <c r="G178" s="10">
        <v>87.36</v>
      </c>
      <c r="H178" s="10">
        <v>37</v>
      </c>
      <c r="I178" s="10">
        <f>AVERAGE(I175:I177)</f>
        <v>18.42</v>
      </c>
      <c r="J178" s="10">
        <v>947.2</v>
      </c>
      <c r="K178" s="10">
        <v>14876.6</v>
      </c>
      <c r="L178" s="10">
        <v>10.4971</v>
      </c>
      <c r="M178" s="10">
        <v>1.2563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 used in analysis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MDI F23</dc:creator>
  <cp:lastModifiedBy>李彦锋</cp:lastModifiedBy>
  <dcterms:created xsi:type="dcterms:W3CDTF">2024-06-14T18:28:00Z</dcterms:created>
  <dcterms:modified xsi:type="dcterms:W3CDTF">2026-04-25T05:47:16Z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7D602A662E324623ACA8F1585D6D4200_13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